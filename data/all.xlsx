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G:\lancet\"/>
    </mc:Choice>
  </mc:AlternateContent>
  <xr:revisionPtr revIDLastSave="0" documentId="13_ncr:1_{4A74546F-8FF5-40D5-AB82-64EAC8954E22}" xr6:coauthVersionLast="47" xr6:coauthVersionMax="47" xr10:uidLastSave="{00000000-0000-0000-0000-000000000000}"/>
  <bookViews>
    <workbookView xWindow="28680" yWindow="-120" windowWidth="38640" windowHeight="21120" activeTab="2" xr2:uid="{00000000-000D-0000-FFFF-FFFF00000000}"/>
  </bookViews>
  <sheets>
    <sheet name="Overall" sheetId="1" r:id="rId1"/>
    <sheet name="Baseline_TLX" sheetId="2" r:id="rId2"/>
    <sheet name="Time" sheetId="6" r:id="rId3"/>
    <sheet name="Baseline_SUS" sheetId="4" r:id="rId4"/>
    <sheet name="Lancet_TLX" sheetId="3" r:id="rId5"/>
    <sheet name="Lancet_SUS" sheetId="5" r:id="rId6"/>
  </sheets>
  <calcPr calcId="191029"/>
</workbook>
</file>

<file path=xl/calcChain.xml><?xml version="1.0" encoding="utf-8"?>
<calcChain xmlns="http://schemas.openxmlformats.org/spreadsheetml/2006/main">
  <c r="I20" i="6" l="1"/>
  <c r="J20" i="6"/>
  <c r="K20" i="6"/>
  <c r="L20" i="6"/>
  <c r="M20" i="6"/>
  <c r="N20" i="6"/>
  <c r="O20" i="6"/>
  <c r="P20" i="6"/>
  <c r="Q20" i="6"/>
  <c r="R20" i="6"/>
  <c r="S20" i="6"/>
  <c r="H20" i="6"/>
  <c r="I14" i="6"/>
  <c r="J14" i="6"/>
  <c r="K14" i="6"/>
  <c r="L14" i="6"/>
  <c r="M14" i="6"/>
  <c r="N14" i="6"/>
  <c r="O14" i="6"/>
  <c r="P14" i="6"/>
  <c r="Q14" i="6"/>
  <c r="R14" i="6"/>
  <c r="S14" i="6"/>
  <c r="H14" i="6"/>
  <c r="I19" i="6"/>
  <c r="J19" i="6"/>
  <c r="K19" i="6"/>
  <c r="L19" i="6"/>
  <c r="M19" i="6"/>
  <c r="N19" i="6"/>
  <c r="O19" i="6"/>
  <c r="P19" i="6"/>
  <c r="Q19" i="6"/>
  <c r="R19" i="6"/>
  <c r="S19" i="6"/>
  <c r="H19" i="6"/>
  <c r="I13" i="6"/>
  <c r="J13" i="6"/>
  <c r="K13" i="6"/>
  <c r="L13" i="6"/>
  <c r="M13" i="6"/>
  <c r="N13" i="6"/>
  <c r="O13" i="6"/>
  <c r="P13" i="6"/>
  <c r="Q13" i="6"/>
  <c r="R13" i="6"/>
  <c r="S13" i="6"/>
  <c r="H13" i="6"/>
</calcChain>
</file>

<file path=xl/sharedStrings.xml><?xml version="1.0" encoding="utf-8"?>
<sst xmlns="http://schemas.openxmlformats.org/spreadsheetml/2006/main" count="284" uniqueCount="139">
  <si>
    <t>序号</t>
  </si>
  <si>
    <t>提交答卷时间</t>
  </si>
  <si>
    <t>所用时间</t>
  </si>
  <si>
    <t>来源</t>
  </si>
  <si>
    <t>来源详情</t>
  </si>
  <si>
    <t>来自IP</t>
  </si>
  <si>
    <t>总分</t>
  </si>
  <si>
    <t>1、您的姓名或实验id：</t>
  </si>
  <si>
    <t>2、请您标记您的Group</t>
  </si>
  <si>
    <t>3、你正在对阶段1进行评估还是阶段2进行评估</t>
  </si>
  <si>
    <t>4、脑力需求 任务的脑力需求怎么样？—脑力需求,小分数表示需求低</t>
  </si>
  <si>
    <t>5、体力需求 任务的体力需求怎么样？—体力需求,小分数表示需求低</t>
  </si>
  <si>
    <t>6、时间需求 任务的进度匆忙或者紧张程度怎么样？—时间需求,小分数表示需求低</t>
  </si>
  <si>
    <t>7、工作绩效 你对任务的完成情况是否满意？—工作绩效,小分数表示需求低</t>
  </si>
  <si>
    <t>8、努力程度 你需要付出多大的努力去达到你的绩效水平？—努力程度,小分数表示需求低</t>
  </si>
  <si>
    <t>9、挫败感 你感受到的不安，沮丧，紧张和烦恼的水平？—挫败感,小分数表示挫败感低</t>
  </si>
  <si>
    <t>10、以下两者对你影响更大的是</t>
  </si>
  <si>
    <t>11、以下两者对你影响更大的是</t>
  </si>
  <si>
    <t>12、以下两者对你影响更大的是</t>
  </si>
  <si>
    <t>13、以下两者对你影响更大的是</t>
  </si>
  <si>
    <t>14、以下两者对你影响更大的是</t>
  </si>
  <si>
    <t>15、以下两者对你影响更大的是</t>
  </si>
  <si>
    <t>16、以下两者对你影响更大的是</t>
  </si>
  <si>
    <t>17、以下两者对你影响更大的是</t>
  </si>
  <si>
    <t>18、以下两者对你影响更大的是</t>
  </si>
  <si>
    <t>19、以下两者对你影响更大的是</t>
  </si>
  <si>
    <t>20、以下两者对你影响更大的是</t>
  </si>
  <si>
    <t>21、以下两者对你影响更大的是</t>
  </si>
  <si>
    <t>22、以下两者对你影响更大的是</t>
  </si>
  <si>
    <t>23、以下两者对你影响更大的是</t>
  </si>
  <si>
    <t>24、以下两者对你影响更大的是</t>
  </si>
  <si>
    <t>25、我可以比较快的学习这个系统如何使用</t>
  </si>
  <si>
    <t>26、使用这个系统进行编程让我感觉更关注在任务本身上</t>
  </si>
  <si>
    <t>27、这个系统能帮我快速了解LLM代码中要执行的任务</t>
  </si>
  <si>
    <t>28、使用该系统时候我对LLM提出的修改是直观的</t>
  </si>
  <si>
    <t>29、这个系统给我提供了灵活的方式让我完成代码任务修改</t>
  </si>
  <si>
    <t>30、使用这个系统进行编程让我感觉代码中执行的任务是可掌控的</t>
  </si>
  <si>
    <t>31、使用这个系统进行代码时，代码完成的任务和我期待的一致</t>
  </si>
  <si>
    <t>32、你有没有其他建议</t>
  </si>
  <si>
    <t>2025/3/29 11:56:58</t>
  </si>
  <si>
    <t>469秒</t>
  </si>
  <si>
    <t>微信</t>
  </si>
  <si>
    <t>N/A</t>
  </si>
  <si>
    <t>183.208.55.194(江苏-苏州)</t>
  </si>
  <si>
    <t>许琪瑄</t>
  </si>
  <si>
    <t>无</t>
  </si>
  <si>
    <t>2025/3/29 12:25:24</t>
  </si>
  <si>
    <t>222秒</t>
  </si>
  <si>
    <t>2025/3/29 22:51:00</t>
  </si>
  <si>
    <t>252秒</t>
  </si>
  <si>
    <t>58.247.22.34(上海-上海)</t>
  </si>
  <si>
    <t>朱利航</t>
  </si>
  <si>
    <t>可以采用一些生成速度更快的非推理模型</t>
  </si>
  <si>
    <t>2025/3/29 23:24:23</t>
  </si>
  <si>
    <t>234秒</t>
  </si>
  <si>
    <t>建议可以在新系统中添加更充分的使用说明</t>
  </si>
  <si>
    <t>2025/3/30 13:52:32</t>
  </si>
  <si>
    <t>421秒</t>
  </si>
  <si>
    <t>175.159.122.27(香港-未知)</t>
  </si>
  <si>
    <t>Lingjie Wei</t>
  </si>
  <si>
    <t>(空)</t>
  </si>
  <si>
    <t>2025/3/30 14:16:13</t>
  </si>
  <si>
    <t>161秒</t>
  </si>
  <si>
    <t>2025/3/30 17:04:30</t>
  </si>
  <si>
    <t>460秒</t>
  </si>
  <si>
    <t>175.159.121.127(香港-未知)</t>
  </si>
  <si>
    <t>城调子</t>
  </si>
  <si>
    <t>2025/3/30 17:34:05</t>
  </si>
  <si>
    <t>277秒</t>
  </si>
  <si>
    <t>2025/3/30 20:27:39</t>
  </si>
  <si>
    <t>207秒</t>
  </si>
  <si>
    <t>111.187.125.21(上海-上海)</t>
  </si>
  <si>
    <t>邓雨欣</t>
  </si>
  <si>
    <t>2025/3/30 20:56:33</t>
  </si>
  <si>
    <t>102秒</t>
  </si>
  <si>
    <t>2025/3/30 21:58:38</t>
  </si>
  <si>
    <t>165秒</t>
  </si>
  <si>
    <t>175.159.126.35(香港-未知)</t>
  </si>
  <si>
    <t>张世鸿</t>
  </si>
  <si>
    <t>2025/3/30 22:20:55</t>
  </si>
  <si>
    <t>123秒</t>
  </si>
  <si>
    <t>2025/3/31 12:14:31</t>
  </si>
  <si>
    <t>223秒</t>
  </si>
  <si>
    <t>手机提交</t>
  </si>
  <si>
    <t>直接访问</t>
  </si>
  <si>
    <t>175.159.123.80(香港-未知)</t>
  </si>
  <si>
    <t>楠棠</t>
  </si>
  <si>
    <t>2025/3/31 12:52:11</t>
  </si>
  <si>
    <t>162秒</t>
  </si>
  <si>
    <t>2025/3/31 15:06:53</t>
  </si>
  <si>
    <t>175.159.122.205(香港-未知)</t>
  </si>
  <si>
    <t>微辣</t>
  </si>
  <si>
    <t>2025/3/31 15:49:49</t>
  </si>
  <si>
    <t>136秒</t>
  </si>
  <si>
    <t>2025/3/31 16:37:13</t>
  </si>
  <si>
    <t>264秒</t>
  </si>
  <si>
    <t>175.159.120.169(香港-未知)</t>
  </si>
  <si>
    <t>2025/3/31 17:05:42</t>
  </si>
  <si>
    <t>215秒</t>
  </si>
  <si>
    <t>2025/3/31 19:37:10</t>
  </si>
  <si>
    <t>175.159.122.99(香港-未知)</t>
  </si>
  <si>
    <t>邓晨晨</t>
  </si>
  <si>
    <t>2025/3/31 20:03:55</t>
  </si>
  <si>
    <t>108秒</t>
  </si>
  <si>
    <t>2025/3/31 21:59:18</t>
  </si>
  <si>
    <t>267秒</t>
  </si>
  <si>
    <t>175.159.123.155(香港-未知)</t>
  </si>
  <si>
    <t>拉开</t>
  </si>
  <si>
    <t>2025/3/31 22:02:57</t>
  </si>
  <si>
    <t>206秒</t>
  </si>
  <si>
    <t>2025/3/31 23:15:52</t>
  </si>
  <si>
    <t>259秒</t>
  </si>
  <si>
    <t>链接</t>
  </si>
  <si>
    <t>71.224.15.123(国外-美国)</t>
  </si>
  <si>
    <t>Xinzhao Xie</t>
  </si>
  <si>
    <t>流程图的展示略显繁复，流程图的线条有较多交叉，如果可以自动展开流程图，减少人工调整工作量可能会有更完美的效果</t>
  </si>
  <si>
    <t>2025/4/1 0:00:59</t>
  </si>
  <si>
    <t>149秒</t>
  </si>
  <si>
    <t>赶快上线新系统！</t>
  </si>
  <si>
    <t>User1</t>
    <phoneticPr fontId="2" type="noConversion"/>
  </si>
  <si>
    <t>User2</t>
    <phoneticPr fontId="2" type="noConversion"/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</si>
  <si>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</si>
  <si>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</si>
  <si>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</si>
  <si>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</si>
  <si>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</si>
  <si>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</si>
  <si>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</si>
  <si>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</si>
  <si>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</si>
  <si>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</si>
  <si>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Total Time</t>
    <phoneticPr fontId="2" type="noConversion"/>
  </si>
  <si>
    <t>Baseline</t>
    <phoneticPr fontId="2" type="noConversion"/>
  </si>
  <si>
    <t>Runining Time</t>
    <phoneticPr fontId="2" type="noConversion"/>
  </si>
  <si>
    <t>LLM Call Round</t>
    <phoneticPr fontId="2" type="noConversion"/>
  </si>
  <si>
    <t>Modify Call Round</t>
    <phoneticPr fontId="2" type="noConversion"/>
  </si>
  <si>
    <t>Thinking Time</t>
    <phoneticPr fontId="2" type="noConversion"/>
  </si>
  <si>
    <t>Lancet</t>
    <phoneticPr fontId="2" type="noConversion"/>
  </si>
  <si>
    <t>Thinking  and Task Manniupulation 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</si>
</sst>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"/>
  <sheetViews>
    <sheetView topLeftCell="AG1" workbookViewId="0">
      <selection sqref="A1:AM1"/>
    </sheetView>
  </sheetViews>
  <sheetFormatPr defaultRowHeight="13.2" x14ac:dyDescent="0.25"/>
  <cols>
    <col min="1" max="1" width="4.109375" customWidth="1"/>
    <col min="2" max="2" width="17.109375" customWidth="1"/>
    <col min="3" max="5" width="7" customWidth="1"/>
    <col min="6" max="6" width="22.44140625" customWidth="1"/>
    <col min="7" max="7" width="4.33203125" customWidth="1"/>
    <col min="8" max="8" width="16.5546875" customWidth="1"/>
    <col min="9" max="9" width="18.33203125" customWidth="1"/>
    <col min="10" max="10" width="31.44140625" customWidth="1"/>
    <col min="11" max="12" width="45.33203125" customWidth="1"/>
    <col min="13" max="13" width="53.88671875" customWidth="1"/>
    <col min="14" max="14" width="49.5546875" customWidth="1"/>
    <col min="15" max="15" width="58.109375" customWidth="1"/>
    <col min="16" max="16" width="56.6640625" customWidth="1"/>
    <col min="17" max="31" width="21.88671875" customWidth="1"/>
    <col min="32" max="32" width="29" customWidth="1"/>
    <col min="33" max="33" width="37.5546875" customWidth="1"/>
    <col min="34" max="34" width="36.88671875" customWidth="1"/>
    <col min="35" max="35" width="34" customWidth="1"/>
    <col min="36" max="36" width="39" customWidth="1"/>
    <col min="37" max="37" width="43.33203125" customWidth="1"/>
    <col min="38" max="38" width="41.88671875" customWidth="1"/>
    <col min="39" max="39" width="78.441406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7</v>
      </c>
      <c r="B2" t="s">
        <v>63</v>
      </c>
      <c r="C2" t="s">
        <v>64</v>
      </c>
      <c r="D2" t="s">
        <v>41</v>
      </c>
      <c r="E2" t="s">
        <v>42</v>
      </c>
      <c r="F2" t="s">
        <v>65</v>
      </c>
      <c r="G2">
        <v>108</v>
      </c>
      <c r="H2" t="s">
        <v>66</v>
      </c>
      <c r="I2">
        <v>1</v>
      </c>
      <c r="J2">
        <v>1</v>
      </c>
      <c r="K2">
        <v>12</v>
      </c>
      <c r="L2">
        <v>8</v>
      </c>
      <c r="M2">
        <v>16</v>
      </c>
      <c r="N2">
        <v>17</v>
      </c>
      <c r="O2">
        <v>12</v>
      </c>
      <c r="P2">
        <v>6</v>
      </c>
      <c r="Q2">
        <v>1</v>
      </c>
      <c r="R2">
        <v>2</v>
      </c>
      <c r="S2">
        <v>1</v>
      </c>
      <c r="T2">
        <v>2</v>
      </c>
      <c r="U2">
        <v>1</v>
      </c>
      <c r="V2">
        <v>2</v>
      </c>
      <c r="W2">
        <v>2</v>
      </c>
      <c r="X2">
        <v>2</v>
      </c>
      <c r="Y2">
        <v>1</v>
      </c>
      <c r="Z2">
        <v>1</v>
      </c>
      <c r="AA2">
        <v>2</v>
      </c>
      <c r="AB2">
        <v>1</v>
      </c>
      <c r="AC2">
        <v>2</v>
      </c>
      <c r="AD2">
        <v>1</v>
      </c>
      <c r="AE2">
        <v>1</v>
      </c>
      <c r="AF2">
        <v>4</v>
      </c>
      <c r="AG2">
        <v>6</v>
      </c>
      <c r="AH2">
        <v>6</v>
      </c>
      <c r="AI2">
        <v>6</v>
      </c>
      <c r="AJ2">
        <v>4</v>
      </c>
      <c r="AK2">
        <v>5</v>
      </c>
      <c r="AL2">
        <v>6</v>
      </c>
      <c r="AM2" t="s">
        <v>60</v>
      </c>
    </row>
    <row r="3" spans="1:39" ht="15.6" customHeight="1" x14ac:dyDescent="0.25">
      <c r="A3">
        <v>8</v>
      </c>
      <c r="B3" t="s">
        <v>67</v>
      </c>
      <c r="C3" t="s">
        <v>68</v>
      </c>
      <c r="D3" t="s">
        <v>41</v>
      </c>
      <c r="E3" t="s">
        <v>42</v>
      </c>
      <c r="F3" t="s">
        <v>65</v>
      </c>
      <c r="G3">
        <v>126</v>
      </c>
      <c r="H3" t="s">
        <v>66</v>
      </c>
      <c r="I3">
        <v>1</v>
      </c>
      <c r="J3">
        <v>2</v>
      </c>
      <c r="K3">
        <v>19</v>
      </c>
      <c r="L3">
        <v>14</v>
      </c>
      <c r="M3">
        <v>19</v>
      </c>
      <c r="N3">
        <v>13</v>
      </c>
      <c r="O3">
        <v>18</v>
      </c>
      <c r="P3">
        <v>15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1</v>
      </c>
      <c r="AC3">
        <v>1</v>
      </c>
      <c r="AD3">
        <v>1</v>
      </c>
      <c r="AE3">
        <v>2</v>
      </c>
      <c r="AF3">
        <v>3</v>
      </c>
      <c r="AG3">
        <v>3</v>
      </c>
      <c r="AH3">
        <v>4</v>
      </c>
      <c r="AI3">
        <v>4</v>
      </c>
      <c r="AJ3">
        <v>5</v>
      </c>
      <c r="AK3">
        <v>3</v>
      </c>
      <c r="AL3">
        <v>6</v>
      </c>
      <c r="AM3" t="s">
        <v>60</v>
      </c>
    </row>
    <row r="4" spans="1:39" x14ac:dyDescent="0.25">
      <c r="A4">
        <v>9</v>
      </c>
      <c r="B4" t="s">
        <v>69</v>
      </c>
      <c r="C4" t="s">
        <v>70</v>
      </c>
      <c r="D4" t="s">
        <v>41</v>
      </c>
      <c r="E4" t="s">
        <v>42</v>
      </c>
      <c r="F4" t="s">
        <v>71</v>
      </c>
      <c r="G4">
        <v>86</v>
      </c>
      <c r="H4" t="s">
        <v>72</v>
      </c>
      <c r="I4">
        <v>1</v>
      </c>
      <c r="J4">
        <v>1</v>
      </c>
      <c r="K4">
        <v>13</v>
      </c>
      <c r="L4">
        <v>3</v>
      </c>
      <c r="M4">
        <v>5</v>
      </c>
      <c r="N4">
        <v>17</v>
      </c>
      <c r="O4">
        <v>9</v>
      </c>
      <c r="P4">
        <v>4</v>
      </c>
      <c r="Q4">
        <v>1</v>
      </c>
      <c r="R4">
        <v>1</v>
      </c>
      <c r="S4">
        <v>2</v>
      </c>
      <c r="T4">
        <v>2</v>
      </c>
      <c r="U4">
        <v>1</v>
      </c>
      <c r="V4">
        <v>2</v>
      </c>
      <c r="W4">
        <v>2</v>
      </c>
      <c r="X4">
        <v>2</v>
      </c>
      <c r="Y4">
        <v>1</v>
      </c>
      <c r="Z4">
        <v>1</v>
      </c>
      <c r="AA4">
        <v>2</v>
      </c>
      <c r="AB4">
        <v>1</v>
      </c>
      <c r="AC4">
        <v>1</v>
      </c>
      <c r="AD4">
        <v>1</v>
      </c>
      <c r="AE4">
        <v>1</v>
      </c>
      <c r="AF4">
        <v>3</v>
      </c>
      <c r="AG4">
        <v>5</v>
      </c>
      <c r="AH4">
        <v>5</v>
      </c>
      <c r="AI4">
        <v>3</v>
      </c>
      <c r="AJ4">
        <v>5</v>
      </c>
      <c r="AK4">
        <v>7</v>
      </c>
      <c r="AL4">
        <v>7</v>
      </c>
      <c r="AM4" t="s">
        <v>60</v>
      </c>
    </row>
    <row r="5" spans="1:39" x14ac:dyDescent="0.25">
      <c r="A5">
        <v>10</v>
      </c>
      <c r="B5" t="s">
        <v>73</v>
      </c>
      <c r="C5" t="s">
        <v>74</v>
      </c>
      <c r="D5" t="s">
        <v>41</v>
      </c>
      <c r="E5" t="s">
        <v>42</v>
      </c>
      <c r="F5" t="s">
        <v>71</v>
      </c>
      <c r="G5">
        <v>102</v>
      </c>
      <c r="H5" t="s">
        <v>72</v>
      </c>
      <c r="I5">
        <v>1</v>
      </c>
      <c r="J5">
        <v>2</v>
      </c>
      <c r="K5">
        <v>14</v>
      </c>
      <c r="L5">
        <v>13</v>
      </c>
      <c r="M5">
        <v>20</v>
      </c>
      <c r="N5">
        <v>6</v>
      </c>
      <c r="O5">
        <v>20</v>
      </c>
      <c r="P5">
        <v>20</v>
      </c>
      <c r="Q5">
        <v>1</v>
      </c>
      <c r="R5">
        <v>1</v>
      </c>
      <c r="S5">
        <v>1</v>
      </c>
      <c r="T5">
        <v>2</v>
      </c>
      <c r="U5">
        <v>2</v>
      </c>
      <c r="V5">
        <v>1</v>
      </c>
      <c r="W5">
        <v>1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1</v>
      </c>
      <c r="AG5">
        <v>2</v>
      </c>
      <c r="AH5">
        <v>1</v>
      </c>
      <c r="AI5">
        <v>1</v>
      </c>
      <c r="AJ5">
        <v>1</v>
      </c>
      <c r="AK5">
        <v>1</v>
      </c>
      <c r="AL5">
        <v>2</v>
      </c>
      <c r="AM5" t="s">
        <v>60</v>
      </c>
    </row>
    <row r="6" spans="1:39" x14ac:dyDescent="0.25">
      <c r="A6">
        <v>11</v>
      </c>
      <c r="B6" t="s">
        <v>75</v>
      </c>
      <c r="C6" t="s">
        <v>76</v>
      </c>
      <c r="D6" t="s">
        <v>41</v>
      </c>
      <c r="E6" t="s">
        <v>42</v>
      </c>
      <c r="F6" t="s">
        <v>77</v>
      </c>
      <c r="G6">
        <v>85</v>
      </c>
      <c r="H6" t="s">
        <v>78</v>
      </c>
      <c r="I6">
        <v>1</v>
      </c>
      <c r="J6">
        <v>1</v>
      </c>
      <c r="K6">
        <v>6</v>
      </c>
      <c r="L6">
        <v>6</v>
      </c>
      <c r="M6">
        <v>3</v>
      </c>
      <c r="N6">
        <v>17</v>
      </c>
      <c r="O6">
        <v>7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2</v>
      </c>
      <c r="AA6">
        <v>2</v>
      </c>
      <c r="AB6">
        <v>1</v>
      </c>
      <c r="AC6">
        <v>1</v>
      </c>
      <c r="AD6">
        <v>1</v>
      </c>
      <c r="AE6">
        <v>1</v>
      </c>
      <c r="AF6">
        <v>7</v>
      </c>
      <c r="AG6">
        <v>7</v>
      </c>
      <c r="AH6">
        <v>7</v>
      </c>
      <c r="AI6">
        <v>5</v>
      </c>
      <c r="AJ6">
        <v>6</v>
      </c>
      <c r="AK6">
        <v>6</v>
      </c>
      <c r="AL6">
        <v>7</v>
      </c>
      <c r="AM6" t="s">
        <v>60</v>
      </c>
    </row>
    <row r="7" spans="1:39" x14ac:dyDescent="0.25">
      <c r="A7">
        <v>12</v>
      </c>
      <c r="B7" t="s">
        <v>79</v>
      </c>
      <c r="C7" t="s">
        <v>80</v>
      </c>
      <c r="D7" t="s">
        <v>41</v>
      </c>
      <c r="E7" t="s">
        <v>42</v>
      </c>
      <c r="F7" t="s">
        <v>77</v>
      </c>
      <c r="G7">
        <v>93</v>
      </c>
      <c r="H7" t="s">
        <v>78</v>
      </c>
      <c r="I7">
        <v>1</v>
      </c>
      <c r="J7">
        <v>2</v>
      </c>
      <c r="K7">
        <v>14</v>
      </c>
      <c r="L7">
        <v>13</v>
      </c>
      <c r="M7">
        <v>10</v>
      </c>
      <c r="N7">
        <v>11</v>
      </c>
      <c r="O7">
        <v>16</v>
      </c>
      <c r="P7">
        <v>7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2</v>
      </c>
      <c r="AA7">
        <v>2</v>
      </c>
      <c r="AB7">
        <v>1</v>
      </c>
      <c r="AC7">
        <v>1</v>
      </c>
      <c r="AD7">
        <v>1</v>
      </c>
      <c r="AE7">
        <v>1</v>
      </c>
      <c r="AF7">
        <v>5</v>
      </c>
      <c r="AG7">
        <v>3</v>
      </c>
      <c r="AH7">
        <v>3</v>
      </c>
      <c r="AI7">
        <v>2</v>
      </c>
      <c r="AJ7">
        <v>2</v>
      </c>
      <c r="AK7">
        <v>2</v>
      </c>
      <c r="AL7">
        <v>5</v>
      </c>
      <c r="AM7" t="s">
        <v>60</v>
      </c>
    </row>
    <row r="9" spans="1:39" x14ac:dyDescent="0.25">
      <c r="A9">
        <v>3</v>
      </c>
      <c r="B9" t="s">
        <v>48</v>
      </c>
      <c r="C9" t="s">
        <v>49</v>
      </c>
      <c r="D9" t="s">
        <v>41</v>
      </c>
      <c r="E9" t="s">
        <v>42</v>
      </c>
      <c r="F9" t="s">
        <v>50</v>
      </c>
      <c r="G9">
        <v>95</v>
      </c>
      <c r="H9" t="s">
        <v>51</v>
      </c>
      <c r="I9">
        <v>2</v>
      </c>
      <c r="J9">
        <v>1</v>
      </c>
      <c r="K9">
        <v>5</v>
      </c>
      <c r="L9">
        <v>5</v>
      </c>
      <c r="M9">
        <v>20</v>
      </c>
      <c r="N9">
        <v>10</v>
      </c>
      <c r="O9">
        <v>15</v>
      </c>
      <c r="P9">
        <v>5</v>
      </c>
      <c r="Q9">
        <v>1</v>
      </c>
      <c r="R9">
        <v>2</v>
      </c>
      <c r="S9">
        <v>1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1</v>
      </c>
      <c r="AA9">
        <v>1</v>
      </c>
      <c r="AB9">
        <v>1</v>
      </c>
      <c r="AC9">
        <v>2</v>
      </c>
      <c r="AD9">
        <v>2</v>
      </c>
      <c r="AE9">
        <v>2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 t="s">
        <v>52</v>
      </c>
    </row>
    <row r="10" spans="1:39" x14ac:dyDescent="0.25">
      <c r="A10">
        <v>4</v>
      </c>
      <c r="B10" t="s">
        <v>53</v>
      </c>
      <c r="C10" t="s">
        <v>54</v>
      </c>
      <c r="D10" t="s">
        <v>41</v>
      </c>
      <c r="E10" t="s">
        <v>42</v>
      </c>
      <c r="F10" t="s">
        <v>50</v>
      </c>
      <c r="G10">
        <v>87</v>
      </c>
      <c r="H10" t="s">
        <v>51</v>
      </c>
      <c r="I10">
        <v>2</v>
      </c>
      <c r="J10">
        <v>2</v>
      </c>
      <c r="K10">
        <v>5</v>
      </c>
      <c r="L10">
        <v>5</v>
      </c>
      <c r="M10">
        <v>5</v>
      </c>
      <c r="N10">
        <v>15</v>
      </c>
      <c r="O10">
        <v>5</v>
      </c>
      <c r="P10">
        <v>5</v>
      </c>
      <c r="Q10">
        <v>1</v>
      </c>
      <c r="R10">
        <v>2</v>
      </c>
      <c r="S10">
        <v>1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1</v>
      </c>
      <c r="AA10">
        <v>1</v>
      </c>
      <c r="AB10">
        <v>1</v>
      </c>
      <c r="AC10">
        <v>1</v>
      </c>
      <c r="AD10">
        <v>2</v>
      </c>
      <c r="AE10">
        <v>1</v>
      </c>
      <c r="AF10">
        <v>7</v>
      </c>
      <c r="AG10">
        <v>5</v>
      </c>
      <c r="AH10">
        <v>7</v>
      </c>
      <c r="AI10">
        <v>7</v>
      </c>
      <c r="AJ10">
        <v>7</v>
      </c>
      <c r="AK10">
        <v>7</v>
      </c>
      <c r="AL10">
        <v>7</v>
      </c>
      <c r="AM10" t="s">
        <v>55</v>
      </c>
    </row>
    <row r="11" spans="1:39" x14ac:dyDescent="0.25">
      <c r="A11">
        <v>5</v>
      </c>
      <c r="B11" t="s">
        <v>56</v>
      </c>
      <c r="C11" t="s">
        <v>57</v>
      </c>
      <c r="D11" t="s">
        <v>41</v>
      </c>
      <c r="E11" t="s">
        <v>42</v>
      </c>
      <c r="F11" t="s">
        <v>58</v>
      </c>
      <c r="G11">
        <v>116</v>
      </c>
      <c r="H11" t="s">
        <v>59</v>
      </c>
      <c r="I11">
        <v>2</v>
      </c>
      <c r="J11">
        <v>1</v>
      </c>
      <c r="K11">
        <v>14</v>
      </c>
      <c r="L11">
        <v>12</v>
      </c>
      <c r="M11">
        <v>7</v>
      </c>
      <c r="N11">
        <v>20</v>
      </c>
      <c r="O11">
        <v>13</v>
      </c>
      <c r="P11">
        <v>9</v>
      </c>
      <c r="Q11">
        <v>1</v>
      </c>
      <c r="R11">
        <v>1</v>
      </c>
      <c r="S11">
        <v>1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1</v>
      </c>
      <c r="AF11">
        <v>7</v>
      </c>
      <c r="AG11">
        <v>6</v>
      </c>
      <c r="AH11">
        <v>6</v>
      </c>
      <c r="AI11">
        <v>4</v>
      </c>
      <c r="AJ11">
        <v>6</v>
      </c>
      <c r="AK11">
        <v>7</v>
      </c>
      <c r="AL11">
        <v>5</v>
      </c>
      <c r="AM11" t="s">
        <v>60</v>
      </c>
    </row>
    <row r="12" spans="1:39" x14ac:dyDescent="0.25">
      <c r="A12">
        <v>6</v>
      </c>
      <c r="B12" t="s">
        <v>61</v>
      </c>
      <c r="C12" t="s">
        <v>62</v>
      </c>
      <c r="D12" t="s">
        <v>41</v>
      </c>
      <c r="E12" t="s">
        <v>42</v>
      </c>
      <c r="F12" t="s">
        <v>58</v>
      </c>
      <c r="G12">
        <v>81</v>
      </c>
      <c r="H12" t="s">
        <v>59</v>
      </c>
      <c r="I12">
        <v>2</v>
      </c>
      <c r="J12">
        <v>2</v>
      </c>
      <c r="K12">
        <v>4</v>
      </c>
      <c r="L12">
        <v>3</v>
      </c>
      <c r="M12">
        <v>1</v>
      </c>
      <c r="N12">
        <v>18</v>
      </c>
      <c r="O12">
        <v>4</v>
      </c>
      <c r="P12">
        <v>4</v>
      </c>
      <c r="Q12">
        <v>1</v>
      </c>
      <c r="R12">
        <v>2</v>
      </c>
      <c r="S12">
        <v>1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1</v>
      </c>
      <c r="AA12">
        <v>2</v>
      </c>
      <c r="AB12">
        <v>2</v>
      </c>
      <c r="AC12">
        <v>2</v>
      </c>
      <c r="AD12">
        <v>2</v>
      </c>
      <c r="AE12">
        <v>1</v>
      </c>
      <c r="AF12">
        <v>7</v>
      </c>
      <c r="AG12">
        <v>7</v>
      </c>
      <c r="AH12">
        <v>7</v>
      </c>
      <c r="AI12">
        <v>5</v>
      </c>
      <c r="AJ12">
        <v>7</v>
      </c>
      <c r="AK12">
        <v>7</v>
      </c>
      <c r="AL12">
        <v>7</v>
      </c>
      <c r="AM12" t="s">
        <v>60</v>
      </c>
    </row>
    <row r="13" spans="1:39" x14ac:dyDescent="0.25">
      <c r="A13">
        <v>21</v>
      </c>
      <c r="B13" t="s">
        <v>104</v>
      </c>
      <c r="C13" t="s">
        <v>105</v>
      </c>
      <c r="D13" t="s">
        <v>41</v>
      </c>
      <c r="E13" t="s">
        <v>42</v>
      </c>
      <c r="F13" t="s">
        <v>106</v>
      </c>
      <c r="G13">
        <v>112</v>
      </c>
      <c r="H13" t="s">
        <v>107</v>
      </c>
      <c r="I13">
        <v>2</v>
      </c>
      <c r="J13">
        <v>1</v>
      </c>
      <c r="K13">
        <v>18</v>
      </c>
      <c r="L13">
        <v>12</v>
      </c>
      <c r="M13">
        <v>18</v>
      </c>
      <c r="N13">
        <v>11</v>
      </c>
      <c r="O13">
        <v>17</v>
      </c>
      <c r="P13">
        <v>17</v>
      </c>
      <c r="Q13">
        <v>1</v>
      </c>
      <c r="R13">
        <v>2</v>
      </c>
      <c r="S13">
        <v>1</v>
      </c>
      <c r="T13">
        <v>2</v>
      </c>
      <c r="U13">
        <v>1</v>
      </c>
      <c r="V13">
        <v>2</v>
      </c>
      <c r="W13">
        <v>2</v>
      </c>
      <c r="X13">
        <v>2</v>
      </c>
      <c r="Y13">
        <v>2</v>
      </c>
      <c r="Z13">
        <v>1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5</v>
      </c>
      <c r="AG13">
        <v>2</v>
      </c>
      <c r="AH13">
        <v>3</v>
      </c>
      <c r="AI13">
        <v>2</v>
      </c>
      <c r="AJ13">
        <v>2</v>
      </c>
      <c r="AK13">
        <v>2</v>
      </c>
      <c r="AL13">
        <v>3</v>
      </c>
      <c r="AM13" t="s">
        <v>60</v>
      </c>
    </row>
    <row r="14" spans="1:39" x14ac:dyDescent="0.25">
      <c r="A14">
        <v>22</v>
      </c>
      <c r="B14" t="s">
        <v>108</v>
      </c>
      <c r="C14" t="s">
        <v>109</v>
      </c>
      <c r="D14" t="s">
        <v>41</v>
      </c>
      <c r="E14" t="s">
        <v>42</v>
      </c>
      <c r="F14" t="s">
        <v>106</v>
      </c>
      <c r="G14">
        <v>89</v>
      </c>
      <c r="H14" t="s">
        <v>107</v>
      </c>
      <c r="I14">
        <v>2</v>
      </c>
      <c r="J14">
        <v>2</v>
      </c>
      <c r="K14">
        <v>6</v>
      </c>
      <c r="L14">
        <v>4</v>
      </c>
      <c r="M14">
        <v>3</v>
      </c>
      <c r="N14">
        <v>20</v>
      </c>
      <c r="O14">
        <v>4</v>
      </c>
      <c r="P14">
        <v>3</v>
      </c>
      <c r="Q14">
        <v>1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1</v>
      </c>
      <c r="AA14">
        <v>1</v>
      </c>
      <c r="AB14">
        <v>2</v>
      </c>
      <c r="AC14">
        <v>1</v>
      </c>
      <c r="AD14">
        <v>2</v>
      </c>
      <c r="AE14">
        <v>2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 t="s">
        <v>60</v>
      </c>
    </row>
    <row r="16" spans="1:39" x14ac:dyDescent="0.25">
      <c r="A16">
        <v>1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G16">
        <v>105</v>
      </c>
      <c r="H16" t="s">
        <v>44</v>
      </c>
      <c r="I16">
        <v>3</v>
      </c>
      <c r="J16">
        <v>1</v>
      </c>
      <c r="K16">
        <v>20</v>
      </c>
      <c r="L16">
        <v>5</v>
      </c>
      <c r="M16">
        <v>15</v>
      </c>
      <c r="N16">
        <v>15</v>
      </c>
      <c r="O16">
        <v>15</v>
      </c>
      <c r="P16">
        <v>15</v>
      </c>
      <c r="Q16">
        <v>1</v>
      </c>
      <c r="R16">
        <v>1</v>
      </c>
      <c r="S16">
        <v>1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1</v>
      </c>
      <c r="AA16">
        <v>1</v>
      </c>
      <c r="AB16">
        <v>2</v>
      </c>
      <c r="AC16">
        <v>2</v>
      </c>
      <c r="AD16">
        <v>2</v>
      </c>
      <c r="AE16">
        <v>2</v>
      </c>
      <c r="AF16">
        <v>5</v>
      </c>
      <c r="AG16">
        <v>1</v>
      </c>
      <c r="AH16">
        <v>2</v>
      </c>
      <c r="AI16">
        <v>5</v>
      </c>
      <c r="AJ16">
        <v>2</v>
      </c>
      <c r="AK16">
        <v>1</v>
      </c>
      <c r="AL16">
        <v>4</v>
      </c>
      <c r="AM16" t="s">
        <v>45</v>
      </c>
    </row>
    <row r="17" spans="1:39" x14ac:dyDescent="0.25">
      <c r="A17">
        <v>2</v>
      </c>
      <c r="B17" t="s">
        <v>46</v>
      </c>
      <c r="C17" t="s">
        <v>47</v>
      </c>
      <c r="D17" t="s">
        <v>41</v>
      </c>
      <c r="E17" t="s">
        <v>42</v>
      </c>
      <c r="F17" t="s">
        <v>43</v>
      </c>
      <c r="G17">
        <v>90</v>
      </c>
      <c r="H17" t="s">
        <v>44</v>
      </c>
      <c r="I17">
        <v>3</v>
      </c>
      <c r="J17">
        <v>2</v>
      </c>
      <c r="K17">
        <v>10</v>
      </c>
      <c r="L17">
        <v>1</v>
      </c>
      <c r="M17">
        <v>5</v>
      </c>
      <c r="N17">
        <v>20</v>
      </c>
      <c r="O17">
        <v>5</v>
      </c>
      <c r="P17">
        <v>1</v>
      </c>
      <c r="Q17">
        <v>1</v>
      </c>
      <c r="R17">
        <v>2</v>
      </c>
      <c r="S17">
        <v>1</v>
      </c>
      <c r="T17">
        <v>2</v>
      </c>
      <c r="U17">
        <v>1</v>
      </c>
      <c r="V17">
        <v>2</v>
      </c>
      <c r="W17">
        <v>2</v>
      </c>
      <c r="X17">
        <v>2</v>
      </c>
      <c r="Y17">
        <v>1</v>
      </c>
      <c r="Z17">
        <v>1</v>
      </c>
      <c r="AA17">
        <v>2</v>
      </c>
      <c r="AB17">
        <v>1</v>
      </c>
      <c r="AC17">
        <v>2</v>
      </c>
      <c r="AD17">
        <v>1</v>
      </c>
      <c r="AE17">
        <v>1</v>
      </c>
      <c r="AF17">
        <v>6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7</v>
      </c>
      <c r="AM17" t="s">
        <v>45</v>
      </c>
    </row>
    <row r="18" spans="1:39" x14ac:dyDescent="0.25">
      <c r="A18">
        <v>17</v>
      </c>
      <c r="B18" t="s">
        <v>94</v>
      </c>
      <c r="C18" t="s">
        <v>95</v>
      </c>
      <c r="D18" t="s">
        <v>83</v>
      </c>
      <c r="E18" t="s">
        <v>84</v>
      </c>
      <c r="F18" t="s">
        <v>96</v>
      </c>
      <c r="G18">
        <v>94</v>
      </c>
      <c r="H18">
        <v>577</v>
      </c>
      <c r="I18">
        <v>3</v>
      </c>
      <c r="J18">
        <v>1</v>
      </c>
      <c r="K18">
        <v>15</v>
      </c>
      <c r="L18">
        <v>5</v>
      </c>
      <c r="M18">
        <v>2</v>
      </c>
      <c r="N18">
        <v>15</v>
      </c>
      <c r="O18">
        <v>15</v>
      </c>
      <c r="P18">
        <v>9</v>
      </c>
      <c r="Q18">
        <v>1</v>
      </c>
      <c r="R18">
        <v>1</v>
      </c>
      <c r="S18">
        <v>1</v>
      </c>
      <c r="T18">
        <v>1</v>
      </c>
      <c r="U18">
        <v>1</v>
      </c>
      <c r="V18">
        <v>2</v>
      </c>
      <c r="W18">
        <v>2</v>
      </c>
      <c r="X18">
        <v>2</v>
      </c>
      <c r="Y18">
        <v>2</v>
      </c>
      <c r="Z18">
        <v>1</v>
      </c>
      <c r="AA18">
        <v>2</v>
      </c>
      <c r="AB18">
        <v>1</v>
      </c>
      <c r="AC18">
        <v>2</v>
      </c>
      <c r="AD18">
        <v>2</v>
      </c>
      <c r="AE18">
        <v>1</v>
      </c>
      <c r="AF18">
        <v>5</v>
      </c>
      <c r="AG18">
        <v>7</v>
      </c>
      <c r="AH18">
        <v>4</v>
      </c>
      <c r="AI18">
        <v>6</v>
      </c>
      <c r="AJ18">
        <v>3</v>
      </c>
      <c r="AK18">
        <v>3</v>
      </c>
      <c r="AL18">
        <v>5</v>
      </c>
      <c r="AM18" t="s">
        <v>60</v>
      </c>
    </row>
    <row r="19" spans="1:39" x14ac:dyDescent="0.25">
      <c r="A19">
        <v>18</v>
      </c>
      <c r="B19" t="s">
        <v>97</v>
      </c>
      <c r="C19" t="s">
        <v>98</v>
      </c>
      <c r="D19" t="s">
        <v>83</v>
      </c>
      <c r="E19" t="s">
        <v>84</v>
      </c>
      <c r="F19" t="s">
        <v>96</v>
      </c>
      <c r="G19">
        <v>89</v>
      </c>
      <c r="H19">
        <v>577</v>
      </c>
      <c r="I19">
        <v>3</v>
      </c>
      <c r="J19">
        <v>2</v>
      </c>
      <c r="K19">
        <v>12</v>
      </c>
      <c r="L19">
        <v>2</v>
      </c>
      <c r="M19">
        <v>3</v>
      </c>
      <c r="N19">
        <v>15</v>
      </c>
      <c r="O19">
        <v>10</v>
      </c>
      <c r="P19">
        <v>6</v>
      </c>
      <c r="Q19">
        <v>1</v>
      </c>
      <c r="R19">
        <v>1</v>
      </c>
      <c r="S19">
        <v>1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1</v>
      </c>
      <c r="AE19">
        <v>1</v>
      </c>
      <c r="AF19">
        <v>6</v>
      </c>
      <c r="AG19">
        <v>6</v>
      </c>
      <c r="AH19">
        <v>7</v>
      </c>
      <c r="AI19">
        <v>6</v>
      </c>
      <c r="AJ19">
        <v>6</v>
      </c>
      <c r="AK19">
        <v>4</v>
      </c>
      <c r="AL19">
        <v>6</v>
      </c>
      <c r="AM19" t="s">
        <v>60</v>
      </c>
    </row>
    <row r="20" spans="1:39" x14ac:dyDescent="0.25">
      <c r="A20">
        <v>19</v>
      </c>
      <c r="B20" t="s">
        <v>99</v>
      </c>
      <c r="C20" t="s">
        <v>54</v>
      </c>
      <c r="D20" t="s">
        <v>41</v>
      </c>
      <c r="E20" t="s">
        <v>42</v>
      </c>
      <c r="F20" t="s">
        <v>100</v>
      </c>
      <c r="G20">
        <v>95</v>
      </c>
      <c r="H20" t="s">
        <v>101</v>
      </c>
      <c r="I20">
        <v>3</v>
      </c>
      <c r="J20">
        <v>1</v>
      </c>
      <c r="K20">
        <v>5</v>
      </c>
      <c r="L20">
        <v>10</v>
      </c>
      <c r="M20">
        <v>15</v>
      </c>
      <c r="N20">
        <v>15</v>
      </c>
      <c r="O20">
        <v>5</v>
      </c>
      <c r="P20">
        <v>6</v>
      </c>
      <c r="Q20">
        <v>2</v>
      </c>
      <c r="R20">
        <v>2</v>
      </c>
      <c r="S20">
        <v>2</v>
      </c>
      <c r="T20">
        <v>2</v>
      </c>
      <c r="U20">
        <v>1</v>
      </c>
      <c r="V20">
        <v>2</v>
      </c>
      <c r="W20">
        <v>2</v>
      </c>
      <c r="X20">
        <v>2</v>
      </c>
      <c r="Y20">
        <v>2</v>
      </c>
      <c r="Z20">
        <v>1</v>
      </c>
      <c r="AA20">
        <v>1</v>
      </c>
      <c r="AB20">
        <v>1</v>
      </c>
      <c r="AC20">
        <v>2</v>
      </c>
      <c r="AD20">
        <v>1</v>
      </c>
      <c r="AE20">
        <v>1</v>
      </c>
      <c r="AF20">
        <v>6</v>
      </c>
      <c r="AG20">
        <v>6</v>
      </c>
      <c r="AH20">
        <v>6</v>
      </c>
      <c r="AI20">
        <v>7</v>
      </c>
      <c r="AJ20">
        <v>4</v>
      </c>
      <c r="AK20">
        <v>5</v>
      </c>
      <c r="AL20">
        <v>5</v>
      </c>
      <c r="AM20" t="s">
        <v>60</v>
      </c>
    </row>
    <row r="21" spans="1:39" x14ac:dyDescent="0.25">
      <c r="A21">
        <v>20</v>
      </c>
      <c r="B21" t="s">
        <v>102</v>
      </c>
      <c r="C21" t="s">
        <v>103</v>
      </c>
      <c r="D21" t="s">
        <v>41</v>
      </c>
      <c r="E21" t="s">
        <v>42</v>
      </c>
      <c r="F21" t="s">
        <v>100</v>
      </c>
      <c r="G21">
        <v>100</v>
      </c>
      <c r="H21" t="s">
        <v>101</v>
      </c>
      <c r="I21">
        <v>3</v>
      </c>
      <c r="J21">
        <v>2</v>
      </c>
      <c r="K21">
        <v>12</v>
      </c>
      <c r="L21">
        <v>8</v>
      </c>
      <c r="M21">
        <v>6</v>
      </c>
      <c r="N21">
        <v>17</v>
      </c>
      <c r="O21">
        <v>14</v>
      </c>
      <c r="P21">
        <v>6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2</v>
      </c>
      <c r="X21">
        <v>1</v>
      </c>
      <c r="Y21">
        <v>1</v>
      </c>
      <c r="Z21">
        <v>2</v>
      </c>
      <c r="AA21">
        <v>2</v>
      </c>
      <c r="AB21">
        <v>2</v>
      </c>
      <c r="AC21">
        <v>2</v>
      </c>
      <c r="AD21">
        <v>1</v>
      </c>
      <c r="AE21">
        <v>1</v>
      </c>
      <c r="AF21">
        <v>3</v>
      </c>
      <c r="AG21">
        <v>5</v>
      </c>
      <c r="AH21">
        <v>5</v>
      </c>
      <c r="AI21">
        <v>5</v>
      </c>
      <c r="AJ21">
        <v>6</v>
      </c>
      <c r="AK21">
        <v>6</v>
      </c>
      <c r="AL21">
        <v>7</v>
      </c>
      <c r="AM21" t="s">
        <v>60</v>
      </c>
    </row>
    <row r="23" spans="1:39" x14ac:dyDescent="0.25">
      <c r="A23">
        <v>23</v>
      </c>
      <c r="B23" t="s">
        <v>110</v>
      </c>
      <c r="C23" t="s">
        <v>111</v>
      </c>
      <c r="D23" t="s">
        <v>112</v>
      </c>
      <c r="E23" t="s">
        <v>84</v>
      </c>
      <c r="F23" t="s">
        <v>113</v>
      </c>
      <c r="G23">
        <v>92</v>
      </c>
      <c r="H23" t="s">
        <v>114</v>
      </c>
      <c r="I23">
        <v>4</v>
      </c>
      <c r="J23">
        <v>1</v>
      </c>
      <c r="K23">
        <v>7</v>
      </c>
      <c r="L23">
        <v>4</v>
      </c>
      <c r="M23">
        <v>7</v>
      </c>
      <c r="N23">
        <v>16</v>
      </c>
      <c r="O23">
        <v>7</v>
      </c>
      <c r="P23">
        <v>3</v>
      </c>
      <c r="Q23">
        <v>1</v>
      </c>
      <c r="R23">
        <v>1</v>
      </c>
      <c r="S23">
        <v>1</v>
      </c>
      <c r="T23">
        <v>2</v>
      </c>
      <c r="U23">
        <v>1</v>
      </c>
      <c r="V23">
        <v>2</v>
      </c>
      <c r="W23">
        <v>2</v>
      </c>
      <c r="X23">
        <v>2</v>
      </c>
      <c r="Y23">
        <v>2</v>
      </c>
      <c r="Z23">
        <v>1</v>
      </c>
      <c r="AA23">
        <v>2</v>
      </c>
      <c r="AB23">
        <v>1</v>
      </c>
      <c r="AC23">
        <v>2</v>
      </c>
      <c r="AD23">
        <v>2</v>
      </c>
      <c r="AE23">
        <v>1</v>
      </c>
      <c r="AF23">
        <v>7</v>
      </c>
      <c r="AG23">
        <v>6</v>
      </c>
      <c r="AH23">
        <v>7</v>
      </c>
      <c r="AI23">
        <v>7</v>
      </c>
      <c r="AJ23">
        <v>7</v>
      </c>
      <c r="AK23">
        <v>7</v>
      </c>
      <c r="AL23">
        <v>7</v>
      </c>
      <c r="AM23" t="s">
        <v>115</v>
      </c>
    </row>
    <row r="24" spans="1:39" x14ac:dyDescent="0.25">
      <c r="A24">
        <v>24</v>
      </c>
      <c r="B24" t="s">
        <v>116</v>
      </c>
      <c r="C24" t="s">
        <v>117</v>
      </c>
      <c r="D24" t="s">
        <v>112</v>
      </c>
      <c r="E24" t="s">
        <v>84</v>
      </c>
      <c r="F24" t="s">
        <v>113</v>
      </c>
      <c r="G24">
        <v>113</v>
      </c>
      <c r="H24" t="s">
        <v>114</v>
      </c>
      <c r="I24">
        <v>4</v>
      </c>
      <c r="J24">
        <v>2</v>
      </c>
      <c r="K24">
        <v>17</v>
      </c>
      <c r="L24">
        <v>19</v>
      </c>
      <c r="M24">
        <v>20</v>
      </c>
      <c r="N24">
        <v>10</v>
      </c>
      <c r="O24">
        <v>16</v>
      </c>
      <c r="P24">
        <v>16</v>
      </c>
      <c r="Q24">
        <v>1</v>
      </c>
      <c r="R24">
        <v>1</v>
      </c>
      <c r="S24">
        <v>1</v>
      </c>
      <c r="T24">
        <v>2</v>
      </c>
      <c r="U24">
        <v>1</v>
      </c>
      <c r="V24">
        <v>2</v>
      </c>
      <c r="W24">
        <v>2</v>
      </c>
      <c r="X24">
        <v>2</v>
      </c>
      <c r="Y24">
        <v>2</v>
      </c>
      <c r="Z24">
        <v>1</v>
      </c>
      <c r="AA24">
        <v>2</v>
      </c>
      <c r="AB24">
        <v>2</v>
      </c>
      <c r="AC24">
        <v>2</v>
      </c>
      <c r="AD24">
        <v>2</v>
      </c>
      <c r="AE24">
        <v>1</v>
      </c>
      <c r="AF24">
        <v>2</v>
      </c>
      <c r="AG24">
        <v>2</v>
      </c>
      <c r="AH24">
        <v>2</v>
      </c>
      <c r="AI24">
        <v>1</v>
      </c>
      <c r="AJ24">
        <v>2</v>
      </c>
      <c r="AK24">
        <v>2</v>
      </c>
      <c r="AL24">
        <v>4</v>
      </c>
      <c r="AM24" t="s">
        <v>118</v>
      </c>
    </row>
    <row r="25" spans="1:39" x14ac:dyDescent="0.25">
      <c r="A25">
        <v>13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>
        <v>70</v>
      </c>
      <c r="H25" t="s">
        <v>86</v>
      </c>
      <c r="I25">
        <v>4</v>
      </c>
      <c r="J25">
        <v>1</v>
      </c>
      <c r="K25">
        <v>1</v>
      </c>
      <c r="L25">
        <v>1</v>
      </c>
      <c r="M25">
        <v>1</v>
      </c>
      <c r="N25">
        <v>15</v>
      </c>
      <c r="O25">
        <v>5</v>
      </c>
      <c r="P25">
        <v>1</v>
      </c>
      <c r="Q25">
        <v>1</v>
      </c>
      <c r="R25">
        <v>2</v>
      </c>
      <c r="S25">
        <v>1</v>
      </c>
      <c r="T25">
        <v>2</v>
      </c>
      <c r="U25">
        <v>1</v>
      </c>
      <c r="V25">
        <v>2</v>
      </c>
      <c r="W25">
        <v>1</v>
      </c>
      <c r="X25">
        <v>2</v>
      </c>
      <c r="Y25">
        <v>1</v>
      </c>
      <c r="Z25">
        <v>1</v>
      </c>
      <c r="AA25">
        <v>2</v>
      </c>
      <c r="AB25">
        <v>1</v>
      </c>
      <c r="AC25">
        <v>2</v>
      </c>
      <c r="AD25">
        <v>1</v>
      </c>
      <c r="AE25">
        <v>1</v>
      </c>
      <c r="AF25">
        <v>7</v>
      </c>
      <c r="AG25">
        <v>6</v>
      </c>
      <c r="AH25">
        <v>6</v>
      </c>
      <c r="AI25">
        <v>7</v>
      </c>
      <c r="AJ25">
        <v>6</v>
      </c>
      <c r="AK25">
        <v>7</v>
      </c>
      <c r="AL25">
        <v>7</v>
      </c>
      <c r="AM25" t="s">
        <v>60</v>
      </c>
    </row>
    <row r="26" spans="1:39" x14ac:dyDescent="0.25">
      <c r="A26">
        <v>14</v>
      </c>
      <c r="B26" t="s">
        <v>87</v>
      </c>
      <c r="C26" t="s">
        <v>88</v>
      </c>
      <c r="D26" t="s">
        <v>83</v>
      </c>
      <c r="E26" t="s">
        <v>84</v>
      </c>
      <c r="F26" t="s">
        <v>85</v>
      </c>
      <c r="G26">
        <v>71</v>
      </c>
      <c r="H26" t="s">
        <v>86</v>
      </c>
      <c r="I26">
        <v>4</v>
      </c>
      <c r="J26">
        <v>2</v>
      </c>
      <c r="K26">
        <v>8</v>
      </c>
      <c r="L26">
        <v>2</v>
      </c>
      <c r="M26">
        <v>8</v>
      </c>
      <c r="N26">
        <v>15</v>
      </c>
      <c r="O26">
        <v>3</v>
      </c>
      <c r="P26">
        <v>1</v>
      </c>
      <c r="Q26">
        <v>1</v>
      </c>
      <c r="R26">
        <v>2</v>
      </c>
      <c r="S26">
        <v>1</v>
      </c>
      <c r="T26">
        <v>2</v>
      </c>
      <c r="U26">
        <v>1</v>
      </c>
      <c r="V26">
        <v>2</v>
      </c>
      <c r="W26">
        <v>1</v>
      </c>
      <c r="X26">
        <v>2</v>
      </c>
      <c r="Y26">
        <v>1</v>
      </c>
      <c r="Z26">
        <v>1</v>
      </c>
      <c r="AA26">
        <v>2</v>
      </c>
      <c r="AB26">
        <v>1</v>
      </c>
      <c r="AC26">
        <v>2</v>
      </c>
      <c r="AD26">
        <v>2</v>
      </c>
      <c r="AE26">
        <v>1</v>
      </c>
      <c r="AF26">
        <v>6</v>
      </c>
      <c r="AG26">
        <v>6</v>
      </c>
      <c r="AH26">
        <v>5</v>
      </c>
      <c r="AI26">
        <v>6</v>
      </c>
      <c r="AJ26">
        <v>5</v>
      </c>
      <c r="AK26">
        <v>3</v>
      </c>
      <c r="AL26">
        <v>3</v>
      </c>
      <c r="AM26" t="s">
        <v>60</v>
      </c>
    </row>
    <row r="27" spans="1:39" x14ac:dyDescent="0.25">
      <c r="A27">
        <v>15</v>
      </c>
      <c r="B27" t="s">
        <v>89</v>
      </c>
      <c r="C27" t="s">
        <v>80</v>
      </c>
      <c r="D27" t="s">
        <v>41</v>
      </c>
      <c r="E27" t="s">
        <v>42</v>
      </c>
      <c r="F27" t="s">
        <v>90</v>
      </c>
      <c r="G27">
        <v>69</v>
      </c>
      <c r="H27" t="s">
        <v>91</v>
      </c>
      <c r="I27">
        <v>4</v>
      </c>
      <c r="J27">
        <v>1</v>
      </c>
      <c r="K27">
        <v>5</v>
      </c>
      <c r="L27">
        <v>1</v>
      </c>
      <c r="M27">
        <v>1</v>
      </c>
      <c r="N27">
        <v>16</v>
      </c>
      <c r="O27">
        <v>4</v>
      </c>
      <c r="P27">
        <v>1</v>
      </c>
      <c r="Q27">
        <v>1</v>
      </c>
      <c r="R27">
        <v>2</v>
      </c>
      <c r="S27">
        <v>1</v>
      </c>
      <c r="T27">
        <v>1</v>
      </c>
      <c r="U27">
        <v>1</v>
      </c>
      <c r="V27">
        <v>2</v>
      </c>
      <c r="W27">
        <v>2</v>
      </c>
      <c r="X27">
        <v>2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5</v>
      </c>
      <c r="AG27">
        <v>6</v>
      </c>
      <c r="AH27">
        <v>6</v>
      </c>
      <c r="AI27">
        <v>5</v>
      </c>
      <c r="AJ27">
        <v>7</v>
      </c>
      <c r="AK27">
        <v>7</v>
      </c>
      <c r="AL27">
        <v>5</v>
      </c>
      <c r="AM27" t="s">
        <v>45</v>
      </c>
    </row>
    <row r="28" spans="1:39" x14ac:dyDescent="0.25">
      <c r="A28">
        <v>16</v>
      </c>
      <c r="B28" t="s">
        <v>92</v>
      </c>
      <c r="C28" t="s">
        <v>93</v>
      </c>
      <c r="D28" t="s">
        <v>41</v>
      </c>
      <c r="E28" t="s">
        <v>42</v>
      </c>
      <c r="F28" t="s">
        <v>90</v>
      </c>
      <c r="G28">
        <v>78</v>
      </c>
      <c r="H28" t="s">
        <v>91</v>
      </c>
      <c r="I28">
        <v>4</v>
      </c>
      <c r="J28">
        <v>2</v>
      </c>
      <c r="K28">
        <v>6</v>
      </c>
      <c r="L28">
        <v>7</v>
      </c>
      <c r="M28">
        <v>14</v>
      </c>
      <c r="N28">
        <v>3</v>
      </c>
      <c r="O28">
        <v>17</v>
      </c>
      <c r="P28">
        <v>9</v>
      </c>
      <c r="Q28">
        <v>1</v>
      </c>
      <c r="R28">
        <v>2</v>
      </c>
      <c r="S28">
        <v>2</v>
      </c>
      <c r="T28">
        <v>2</v>
      </c>
      <c r="U28">
        <v>1</v>
      </c>
      <c r="V28">
        <v>2</v>
      </c>
      <c r="W28">
        <v>2</v>
      </c>
      <c r="X28">
        <v>2</v>
      </c>
      <c r="Y28">
        <v>2</v>
      </c>
      <c r="Z28">
        <v>1</v>
      </c>
      <c r="AA28">
        <v>1</v>
      </c>
      <c r="AB28">
        <v>1</v>
      </c>
      <c r="AC28">
        <v>2</v>
      </c>
      <c r="AD28">
        <v>2</v>
      </c>
      <c r="AE28">
        <v>1</v>
      </c>
      <c r="AF28">
        <v>5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2</v>
      </c>
      <c r="AM28" t="s">
        <v>60</v>
      </c>
    </row>
  </sheetData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82E5-DDF8-44E7-A38F-2D39635BD84B}">
  <dimension ref="A1:U13"/>
  <sheetViews>
    <sheetView workbookViewId="0">
      <selection activeCell="B16" sqref="B16:C17"/>
    </sheetView>
  </sheetViews>
  <sheetFormatPr defaultRowHeight="13.2" x14ac:dyDescent="0.25"/>
  <cols>
    <col min="20" max="20" width="8.6640625" customWidth="1"/>
    <col min="21" max="21" width="11.21875" customWidth="1"/>
  </cols>
  <sheetData>
    <row r="1" spans="1:2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ht="15.6" customHeight="1" x14ac:dyDescent="0.25">
      <c r="A2">
        <v>19</v>
      </c>
      <c r="B2">
        <v>14</v>
      </c>
      <c r="C2">
        <v>19</v>
      </c>
      <c r="D2">
        <v>13</v>
      </c>
      <c r="E2">
        <v>18</v>
      </c>
      <c r="F2">
        <v>15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1</v>
      </c>
      <c r="S2">
        <v>1</v>
      </c>
      <c r="T2">
        <v>1</v>
      </c>
      <c r="U2">
        <v>2</v>
      </c>
    </row>
    <row r="3" spans="1:21" x14ac:dyDescent="0.25">
      <c r="A3">
        <v>14</v>
      </c>
      <c r="B3">
        <v>13</v>
      </c>
      <c r="C3">
        <v>20</v>
      </c>
      <c r="D3">
        <v>6</v>
      </c>
      <c r="E3">
        <v>20</v>
      </c>
      <c r="F3">
        <v>20</v>
      </c>
      <c r="G3">
        <v>1</v>
      </c>
      <c r="H3">
        <v>1</v>
      </c>
      <c r="I3">
        <v>1</v>
      </c>
      <c r="J3">
        <v>2</v>
      </c>
      <c r="K3">
        <v>2</v>
      </c>
      <c r="L3">
        <v>1</v>
      </c>
      <c r="M3">
        <v>1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</row>
    <row r="4" spans="1:21" x14ac:dyDescent="0.25">
      <c r="A4">
        <v>14</v>
      </c>
      <c r="B4">
        <v>13</v>
      </c>
      <c r="C4">
        <v>10</v>
      </c>
      <c r="D4">
        <v>11</v>
      </c>
      <c r="E4">
        <v>16</v>
      </c>
      <c r="F4">
        <v>7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5</v>
      </c>
      <c r="B5">
        <v>5</v>
      </c>
      <c r="C5">
        <v>20</v>
      </c>
      <c r="D5">
        <v>10</v>
      </c>
      <c r="E5">
        <v>15</v>
      </c>
      <c r="F5">
        <v>5</v>
      </c>
      <c r="G5">
        <v>1</v>
      </c>
      <c r="H5">
        <v>2</v>
      </c>
      <c r="I5">
        <v>1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1</v>
      </c>
      <c r="Q5">
        <v>1</v>
      </c>
      <c r="R5">
        <v>1</v>
      </c>
      <c r="S5">
        <v>2</v>
      </c>
      <c r="T5">
        <v>2</v>
      </c>
      <c r="U5">
        <v>2</v>
      </c>
    </row>
    <row r="6" spans="1:21" x14ac:dyDescent="0.25">
      <c r="A6">
        <v>14</v>
      </c>
      <c r="B6">
        <v>12</v>
      </c>
      <c r="C6">
        <v>7</v>
      </c>
      <c r="D6">
        <v>20</v>
      </c>
      <c r="E6">
        <v>13</v>
      </c>
      <c r="F6">
        <v>9</v>
      </c>
      <c r="G6">
        <v>1</v>
      </c>
      <c r="H6">
        <v>1</v>
      </c>
      <c r="I6">
        <v>1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1</v>
      </c>
    </row>
    <row r="7" spans="1:21" x14ac:dyDescent="0.25">
      <c r="A7">
        <v>18</v>
      </c>
      <c r="B7">
        <v>12</v>
      </c>
      <c r="C7">
        <v>18</v>
      </c>
      <c r="D7">
        <v>11</v>
      </c>
      <c r="E7">
        <v>17</v>
      </c>
      <c r="F7">
        <v>17</v>
      </c>
      <c r="G7">
        <v>1</v>
      </c>
      <c r="H7">
        <v>2</v>
      </c>
      <c r="I7">
        <v>1</v>
      </c>
      <c r="J7">
        <v>2</v>
      </c>
      <c r="K7">
        <v>1</v>
      </c>
      <c r="L7">
        <v>2</v>
      </c>
      <c r="M7">
        <v>2</v>
      </c>
      <c r="N7">
        <v>2</v>
      </c>
      <c r="O7">
        <v>2</v>
      </c>
      <c r="P7">
        <v>1</v>
      </c>
      <c r="Q7">
        <v>2</v>
      </c>
      <c r="R7">
        <v>2</v>
      </c>
      <c r="S7">
        <v>2</v>
      </c>
      <c r="T7">
        <v>2</v>
      </c>
      <c r="U7">
        <v>2</v>
      </c>
    </row>
    <row r="8" spans="1:21" x14ac:dyDescent="0.25">
      <c r="A8">
        <v>20</v>
      </c>
      <c r="B8">
        <v>5</v>
      </c>
      <c r="C8">
        <v>15</v>
      </c>
      <c r="D8">
        <v>15</v>
      </c>
      <c r="E8">
        <v>15</v>
      </c>
      <c r="F8">
        <v>15</v>
      </c>
      <c r="G8">
        <v>1</v>
      </c>
      <c r="H8">
        <v>1</v>
      </c>
      <c r="I8">
        <v>1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1</v>
      </c>
      <c r="Q8">
        <v>1</v>
      </c>
      <c r="R8">
        <v>2</v>
      </c>
      <c r="S8">
        <v>2</v>
      </c>
      <c r="T8">
        <v>2</v>
      </c>
      <c r="U8">
        <v>2</v>
      </c>
    </row>
    <row r="9" spans="1:21" x14ac:dyDescent="0.25">
      <c r="A9">
        <v>15</v>
      </c>
      <c r="B9">
        <v>5</v>
      </c>
      <c r="C9">
        <v>2</v>
      </c>
      <c r="D9">
        <v>15</v>
      </c>
      <c r="E9">
        <v>15</v>
      </c>
      <c r="F9">
        <v>9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1</v>
      </c>
      <c r="Q9">
        <v>2</v>
      </c>
      <c r="R9">
        <v>1</v>
      </c>
      <c r="S9">
        <v>2</v>
      </c>
      <c r="T9">
        <v>2</v>
      </c>
      <c r="U9">
        <v>1</v>
      </c>
    </row>
    <row r="10" spans="1:21" x14ac:dyDescent="0.25">
      <c r="A10">
        <v>5</v>
      </c>
      <c r="B10">
        <v>10</v>
      </c>
      <c r="C10">
        <v>15</v>
      </c>
      <c r="D10">
        <v>15</v>
      </c>
      <c r="E10">
        <v>5</v>
      </c>
      <c r="F10">
        <v>6</v>
      </c>
      <c r="G10">
        <v>2</v>
      </c>
      <c r="H10">
        <v>2</v>
      </c>
      <c r="I10">
        <v>2</v>
      </c>
      <c r="J10">
        <v>2</v>
      </c>
      <c r="K10">
        <v>1</v>
      </c>
      <c r="L10">
        <v>2</v>
      </c>
      <c r="M10">
        <v>2</v>
      </c>
      <c r="N10">
        <v>2</v>
      </c>
      <c r="O10">
        <v>2</v>
      </c>
      <c r="P10">
        <v>1</v>
      </c>
      <c r="Q10">
        <v>1</v>
      </c>
      <c r="R10">
        <v>1</v>
      </c>
      <c r="S10">
        <v>2</v>
      </c>
      <c r="T10">
        <v>1</v>
      </c>
      <c r="U10">
        <v>1</v>
      </c>
    </row>
    <row r="11" spans="1:21" x14ac:dyDescent="0.25">
      <c r="A11">
        <v>17</v>
      </c>
      <c r="B11">
        <v>19</v>
      </c>
      <c r="C11">
        <v>20</v>
      </c>
      <c r="D11">
        <v>10</v>
      </c>
      <c r="E11">
        <v>16</v>
      </c>
      <c r="F11">
        <v>16</v>
      </c>
      <c r="G11">
        <v>1</v>
      </c>
      <c r="H11">
        <v>1</v>
      </c>
      <c r="I11">
        <v>1</v>
      </c>
      <c r="J11">
        <v>2</v>
      </c>
      <c r="K11">
        <v>1</v>
      </c>
      <c r="L11">
        <v>2</v>
      </c>
      <c r="M11">
        <v>2</v>
      </c>
      <c r="N11">
        <v>2</v>
      </c>
      <c r="O11">
        <v>2</v>
      </c>
      <c r="P11">
        <v>1</v>
      </c>
      <c r="Q11">
        <v>2</v>
      </c>
      <c r="R11">
        <v>2</v>
      </c>
      <c r="S11">
        <v>2</v>
      </c>
      <c r="T11">
        <v>2</v>
      </c>
      <c r="U11">
        <v>1</v>
      </c>
    </row>
    <row r="12" spans="1:21" x14ac:dyDescent="0.25">
      <c r="A12">
        <v>8</v>
      </c>
      <c r="B12">
        <v>2</v>
      </c>
      <c r="C12">
        <v>8</v>
      </c>
      <c r="D12">
        <v>15</v>
      </c>
      <c r="E12">
        <v>3</v>
      </c>
      <c r="F12">
        <v>1</v>
      </c>
      <c r="G12">
        <v>1</v>
      </c>
      <c r="H12">
        <v>2</v>
      </c>
      <c r="I12">
        <v>1</v>
      </c>
      <c r="J12">
        <v>2</v>
      </c>
      <c r="K12">
        <v>1</v>
      </c>
      <c r="L12">
        <v>2</v>
      </c>
      <c r="M12">
        <v>1</v>
      </c>
      <c r="N12">
        <v>2</v>
      </c>
      <c r="O12">
        <v>1</v>
      </c>
      <c r="P12">
        <v>1</v>
      </c>
      <c r="Q12">
        <v>2</v>
      </c>
      <c r="R12">
        <v>1</v>
      </c>
      <c r="S12">
        <v>2</v>
      </c>
      <c r="T12">
        <v>2</v>
      </c>
      <c r="U12">
        <v>1</v>
      </c>
    </row>
    <row r="13" spans="1:21" x14ac:dyDescent="0.25">
      <c r="A13">
        <v>6</v>
      </c>
      <c r="B13">
        <v>7</v>
      </c>
      <c r="C13">
        <v>14</v>
      </c>
      <c r="D13">
        <v>3</v>
      </c>
      <c r="E13">
        <v>17</v>
      </c>
      <c r="F13">
        <v>9</v>
      </c>
      <c r="G13">
        <v>1</v>
      </c>
      <c r="H13">
        <v>2</v>
      </c>
      <c r="I13">
        <v>2</v>
      </c>
      <c r="J13">
        <v>2</v>
      </c>
      <c r="K13">
        <v>1</v>
      </c>
      <c r="L13">
        <v>2</v>
      </c>
      <c r="M13">
        <v>2</v>
      </c>
      <c r="N13">
        <v>2</v>
      </c>
      <c r="O13">
        <v>2</v>
      </c>
      <c r="P13">
        <v>1</v>
      </c>
      <c r="Q13">
        <v>1</v>
      </c>
      <c r="R13">
        <v>1</v>
      </c>
      <c r="S13">
        <v>2</v>
      </c>
      <c r="T13">
        <v>2</v>
      </c>
      <c r="U13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E1F5-AD81-4CC7-B347-976C8923E774}">
  <dimension ref="F10:S20"/>
  <sheetViews>
    <sheetView tabSelected="1" topLeftCell="C1" zoomScale="145" zoomScaleNormal="145" workbookViewId="0">
      <selection activeCell="G7" sqref="G7"/>
    </sheetView>
  </sheetViews>
  <sheetFormatPr defaultRowHeight="13.2" x14ac:dyDescent="0.25"/>
  <cols>
    <col min="6" max="6" width="11.33203125" customWidth="1"/>
    <col min="7" max="7" width="36.21875" bestFit="1" customWidth="1"/>
  </cols>
  <sheetData>
    <row r="10" spans="6:19" x14ac:dyDescent="0.25">
      <c r="H10" t="s">
        <v>119</v>
      </c>
      <c r="I10" t="s">
        <v>120</v>
      </c>
      <c r="J10" t="s">
        <v>121</v>
      </c>
      <c r="K10" t="s">
        <v>122</v>
      </c>
      <c r="L10" t="s">
        <v>123</v>
      </c>
      <c r="M10" t="s">
        <v>124</v>
      </c>
      <c r="N10" t="s">
        <v>125</v>
      </c>
      <c r="O10" t="s">
        <v>126</v>
      </c>
      <c r="P10" t="s">
        <v>127</v>
      </c>
      <c r="Q10" t="s">
        <v>128</v>
      </c>
      <c r="R10" t="s">
        <v>129</v>
      </c>
      <c r="S10" t="s">
        <v>130</v>
      </c>
    </row>
    <row r="11" spans="6:19" x14ac:dyDescent="0.25">
      <c r="F11" s="1" t="s">
        <v>132</v>
      </c>
      <c r="G11" t="s">
        <v>134</v>
      </c>
      <c r="H11">
        <v>2</v>
      </c>
      <c r="I11">
        <v>5</v>
      </c>
      <c r="J11">
        <v>4</v>
      </c>
      <c r="K11">
        <v>3</v>
      </c>
      <c r="L11">
        <v>5</v>
      </c>
      <c r="M11">
        <v>4</v>
      </c>
      <c r="N11">
        <v>4</v>
      </c>
      <c r="O11">
        <v>5</v>
      </c>
      <c r="P11">
        <v>3</v>
      </c>
      <c r="Q11">
        <v>3</v>
      </c>
      <c r="R11">
        <v>4</v>
      </c>
      <c r="S11">
        <v>5</v>
      </c>
    </row>
    <row r="12" spans="6:19" x14ac:dyDescent="0.25">
      <c r="F12" s="1"/>
      <c r="G12" t="s">
        <v>131</v>
      </c>
      <c r="H12">
        <v>15</v>
      </c>
      <c r="I12">
        <v>29</v>
      </c>
      <c r="J12">
        <v>22</v>
      </c>
      <c r="K12">
        <v>19</v>
      </c>
      <c r="L12">
        <v>25</v>
      </c>
      <c r="M12">
        <v>19</v>
      </c>
      <c r="N12">
        <v>25</v>
      </c>
      <c r="O12">
        <v>32</v>
      </c>
      <c r="P12">
        <v>25</v>
      </c>
      <c r="Q12">
        <v>16</v>
      </c>
      <c r="R12">
        <v>22</v>
      </c>
      <c r="S12">
        <v>36</v>
      </c>
    </row>
    <row r="13" spans="6:19" x14ac:dyDescent="0.25">
      <c r="F13" s="1"/>
      <c r="G13" t="s">
        <v>133</v>
      </c>
      <c r="H13">
        <f>3.5*H11</f>
        <v>7</v>
      </c>
      <c r="I13">
        <f t="shared" ref="I13:S13" si="0">3.5*I11</f>
        <v>17.5</v>
      </c>
      <c r="J13">
        <f t="shared" si="0"/>
        <v>14</v>
      </c>
      <c r="K13">
        <f t="shared" si="0"/>
        <v>10.5</v>
      </c>
      <c r="L13">
        <f t="shared" si="0"/>
        <v>17.5</v>
      </c>
      <c r="M13">
        <f t="shared" si="0"/>
        <v>14</v>
      </c>
      <c r="N13">
        <f t="shared" si="0"/>
        <v>14</v>
      </c>
      <c r="O13">
        <f t="shared" si="0"/>
        <v>17.5</v>
      </c>
      <c r="P13">
        <f t="shared" si="0"/>
        <v>10.5</v>
      </c>
      <c r="Q13">
        <f t="shared" si="0"/>
        <v>10.5</v>
      </c>
      <c r="R13">
        <f t="shared" si="0"/>
        <v>14</v>
      </c>
      <c r="S13">
        <f t="shared" si="0"/>
        <v>17.5</v>
      </c>
    </row>
    <row r="14" spans="6:19" x14ac:dyDescent="0.25">
      <c r="F14" s="1"/>
      <c r="G14" t="s">
        <v>136</v>
      </c>
      <c r="H14">
        <f>H12-H13</f>
        <v>8</v>
      </c>
      <c r="I14">
        <f t="shared" ref="I14:S14" si="1">I12-I13</f>
        <v>11.5</v>
      </c>
      <c r="J14">
        <f t="shared" si="1"/>
        <v>8</v>
      </c>
      <c r="K14">
        <f t="shared" si="1"/>
        <v>8.5</v>
      </c>
      <c r="L14">
        <f t="shared" si="1"/>
        <v>7.5</v>
      </c>
      <c r="M14">
        <f t="shared" si="1"/>
        <v>5</v>
      </c>
      <c r="N14">
        <f t="shared" si="1"/>
        <v>11</v>
      </c>
      <c r="O14">
        <f t="shared" si="1"/>
        <v>14.5</v>
      </c>
      <c r="P14">
        <f t="shared" si="1"/>
        <v>14.5</v>
      </c>
      <c r="Q14">
        <f t="shared" si="1"/>
        <v>5.5</v>
      </c>
      <c r="R14">
        <f t="shared" si="1"/>
        <v>8</v>
      </c>
      <c r="S14">
        <f t="shared" si="1"/>
        <v>18.5</v>
      </c>
    </row>
    <row r="16" spans="6:19" x14ac:dyDescent="0.25">
      <c r="F16" s="1" t="s">
        <v>137</v>
      </c>
      <c r="G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2</v>
      </c>
      <c r="P16">
        <v>1</v>
      </c>
      <c r="Q16">
        <v>1</v>
      </c>
      <c r="R16">
        <v>1</v>
      </c>
      <c r="S16">
        <v>1</v>
      </c>
    </row>
    <row r="17" spans="6:19" x14ac:dyDescent="0.25">
      <c r="F17" s="1"/>
      <c r="G17" t="s">
        <v>135</v>
      </c>
      <c r="H17">
        <v>1</v>
      </c>
      <c r="I17">
        <v>0</v>
      </c>
      <c r="J17">
        <v>1</v>
      </c>
      <c r="K17">
        <v>0</v>
      </c>
      <c r="L17">
        <v>2</v>
      </c>
      <c r="M17">
        <v>0</v>
      </c>
      <c r="N17">
        <v>1</v>
      </c>
      <c r="O17">
        <v>3</v>
      </c>
      <c r="P17">
        <v>1</v>
      </c>
      <c r="Q17">
        <v>1</v>
      </c>
      <c r="R17">
        <v>1</v>
      </c>
      <c r="S17">
        <v>0</v>
      </c>
    </row>
    <row r="18" spans="6:19" x14ac:dyDescent="0.25">
      <c r="F18" s="1"/>
      <c r="G18" t="s">
        <v>131</v>
      </c>
      <c r="H18">
        <v>14</v>
      </c>
      <c r="I18">
        <v>13</v>
      </c>
      <c r="J18">
        <v>11</v>
      </c>
      <c r="K18">
        <v>7</v>
      </c>
      <c r="L18">
        <v>11</v>
      </c>
      <c r="M18">
        <v>6</v>
      </c>
      <c r="N18">
        <v>16</v>
      </c>
      <c r="O18">
        <v>16</v>
      </c>
      <c r="P18">
        <v>17</v>
      </c>
      <c r="Q18">
        <v>11</v>
      </c>
      <c r="R18">
        <v>14</v>
      </c>
      <c r="S18">
        <v>7</v>
      </c>
    </row>
    <row r="19" spans="6:19" x14ac:dyDescent="0.25">
      <c r="F19" s="1"/>
      <c r="G19" t="s">
        <v>133</v>
      </c>
      <c r="H19">
        <f>3.5*H16+0.8*H17</f>
        <v>4.3</v>
      </c>
      <c r="I19">
        <f t="shared" ref="I19:S19" si="2">3.5*I16+0.8*I17</f>
        <v>3.5</v>
      </c>
      <c r="J19">
        <f t="shared" si="2"/>
        <v>4.3</v>
      </c>
      <c r="K19">
        <f t="shared" si="2"/>
        <v>3.5</v>
      </c>
      <c r="L19">
        <f t="shared" si="2"/>
        <v>5.0999999999999996</v>
      </c>
      <c r="M19">
        <f t="shared" si="2"/>
        <v>3.5</v>
      </c>
      <c r="N19">
        <f t="shared" si="2"/>
        <v>4.3</v>
      </c>
      <c r="O19">
        <f t="shared" si="2"/>
        <v>9.4</v>
      </c>
      <c r="P19">
        <f t="shared" si="2"/>
        <v>4.3</v>
      </c>
      <c r="Q19">
        <f t="shared" si="2"/>
        <v>4.3</v>
      </c>
      <c r="R19">
        <f t="shared" si="2"/>
        <v>4.3</v>
      </c>
      <c r="S19">
        <f t="shared" si="2"/>
        <v>3.5</v>
      </c>
    </row>
    <row r="20" spans="6:19" x14ac:dyDescent="0.25">
      <c r="F20" s="1"/>
      <c r="G20" t="s">
        <v>138</v>
      </c>
      <c r="H20">
        <f>H18-H19</f>
        <v>9.6999999999999993</v>
      </c>
      <c r="I20">
        <f t="shared" ref="I20:S20" si="3">I18-I19</f>
        <v>9.5</v>
      </c>
      <c r="J20">
        <f t="shared" si="3"/>
        <v>6.7</v>
      </c>
      <c r="K20">
        <f t="shared" si="3"/>
        <v>3.5</v>
      </c>
      <c r="L20">
        <f t="shared" si="3"/>
        <v>5.9</v>
      </c>
      <c r="M20">
        <f t="shared" si="3"/>
        <v>2.5</v>
      </c>
      <c r="N20">
        <f t="shared" si="3"/>
        <v>11.7</v>
      </c>
      <c r="O20">
        <f t="shared" si="3"/>
        <v>6.6</v>
      </c>
      <c r="P20">
        <f t="shared" si="3"/>
        <v>12.7</v>
      </c>
      <c r="Q20">
        <f t="shared" si="3"/>
        <v>6.7</v>
      </c>
      <c r="R20">
        <f t="shared" si="3"/>
        <v>9.6999999999999993</v>
      </c>
      <c r="S20">
        <f t="shared" si="3"/>
        <v>3.5</v>
      </c>
    </row>
  </sheetData>
  <mergeCells count="2">
    <mergeCell ref="F11:F14"/>
    <mergeCell ref="F16:F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C9F1-6CFA-47DF-A008-008473A453E8}">
  <dimension ref="A1:G13"/>
  <sheetViews>
    <sheetView workbookViewId="0">
      <selection activeCell="L13" sqref="L13"/>
    </sheetView>
  </sheetViews>
  <sheetFormatPr defaultRowHeight="13.2" x14ac:dyDescent="0.25"/>
  <cols>
    <col min="1" max="1" width="14" customWidth="1"/>
  </cols>
  <sheetData>
    <row r="1" spans="1:7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>
        <v>3</v>
      </c>
      <c r="B2">
        <v>3</v>
      </c>
      <c r="C2">
        <v>4</v>
      </c>
      <c r="D2">
        <v>4</v>
      </c>
      <c r="E2">
        <v>5</v>
      </c>
      <c r="F2">
        <v>3</v>
      </c>
      <c r="G2">
        <v>6</v>
      </c>
    </row>
    <row r="3" spans="1:7" x14ac:dyDescent="0.25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2</v>
      </c>
    </row>
    <row r="4" spans="1:7" x14ac:dyDescent="0.25">
      <c r="A4">
        <v>5</v>
      </c>
      <c r="B4">
        <v>3</v>
      </c>
      <c r="C4">
        <v>3</v>
      </c>
      <c r="D4">
        <v>2</v>
      </c>
      <c r="E4">
        <v>2</v>
      </c>
      <c r="F4">
        <v>2</v>
      </c>
      <c r="G4">
        <v>5</v>
      </c>
    </row>
    <row r="5" spans="1:7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25">
      <c r="A6">
        <v>7</v>
      </c>
      <c r="B6">
        <v>6</v>
      </c>
      <c r="C6">
        <v>6</v>
      </c>
      <c r="D6">
        <v>4</v>
      </c>
      <c r="E6">
        <v>6</v>
      </c>
      <c r="F6">
        <v>7</v>
      </c>
      <c r="G6">
        <v>5</v>
      </c>
    </row>
    <row r="7" spans="1:7" x14ac:dyDescent="0.25">
      <c r="A7">
        <v>5</v>
      </c>
      <c r="B7">
        <v>2</v>
      </c>
      <c r="C7">
        <v>3</v>
      </c>
      <c r="D7">
        <v>2</v>
      </c>
      <c r="E7">
        <v>2</v>
      </c>
      <c r="F7">
        <v>2</v>
      </c>
      <c r="G7">
        <v>3</v>
      </c>
    </row>
    <row r="8" spans="1:7" x14ac:dyDescent="0.25">
      <c r="A8">
        <v>5</v>
      </c>
      <c r="B8">
        <v>1</v>
      </c>
      <c r="C8">
        <v>2</v>
      </c>
      <c r="D8">
        <v>5</v>
      </c>
      <c r="E8">
        <v>2</v>
      </c>
      <c r="F8">
        <v>1</v>
      </c>
      <c r="G8">
        <v>4</v>
      </c>
    </row>
    <row r="9" spans="1:7" x14ac:dyDescent="0.25">
      <c r="A9">
        <v>5</v>
      </c>
      <c r="B9">
        <v>7</v>
      </c>
      <c r="C9">
        <v>4</v>
      </c>
      <c r="D9">
        <v>6</v>
      </c>
      <c r="E9">
        <v>3</v>
      </c>
      <c r="F9">
        <v>3</v>
      </c>
      <c r="G9">
        <v>5</v>
      </c>
    </row>
    <row r="10" spans="1:7" x14ac:dyDescent="0.25">
      <c r="A10">
        <v>6</v>
      </c>
      <c r="B10">
        <v>6</v>
      </c>
      <c r="C10">
        <v>6</v>
      </c>
      <c r="D10">
        <v>7</v>
      </c>
      <c r="E10">
        <v>4</v>
      </c>
      <c r="F10">
        <v>5</v>
      </c>
      <c r="G10">
        <v>5</v>
      </c>
    </row>
    <row r="11" spans="1:7" x14ac:dyDescent="0.25">
      <c r="A11">
        <v>2</v>
      </c>
      <c r="B11">
        <v>2</v>
      </c>
      <c r="C11">
        <v>2</v>
      </c>
      <c r="D11">
        <v>1</v>
      </c>
      <c r="E11">
        <v>2</v>
      </c>
      <c r="F11">
        <v>2</v>
      </c>
      <c r="G11">
        <v>4</v>
      </c>
    </row>
    <row r="12" spans="1:7" x14ac:dyDescent="0.25">
      <c r="A12">
        <v>6</v>
      </c>
      <c r="B12">
        <v>6</v>
      </c>
      <c r="C12">
        <v>5</v>
      </c>
      <c r="D12">
        <v>6</v>
      </c>
      <c r="E12">
        <v>5</v>
      </c>
      <c r="F12">
        <v>3</v>
      </c>
      <c r="G12">
        <v>3</v>
      </c>
    </row>
    <row r="13" spans="1:7" x14ac:dyDescent="0.25">
      <c r="A13">
        <v>5</v>
      </c>
      <c r="B13">
        <v>3</v>
      </c>
      <c r="C13">
        <v>3</v>
      </c>
      <c r="D13">
        <v>3</v>
      </c>
      <c r="E13">
        <v>3</v>
      </c>
      <c r="F13">
        <v>3</v>
      </c>
      <c r="G13">
        <v>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110A-8F43-4851-93F4-8500386BC425}">
  <dimension ref="A1:U13"/>
  <sheetViews>
    <sheetView workbookViewId="0">
      <selection activeCell="AB13" sqref="AB13"/>
    </sheetView>
  </sheetViews>
  <sheetFormatPr defaultRowHeight="13.2" x14ac:dyDescent="0.25"/>
  <sheetData>
    <row r="1" spans="1:2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25">
      <c r="A2">
        <v>12</v>
      </c>
      <c r="B2">
        <v>8</v>
      </c>
      <c r="C2">
        <v>16</v>
      </c>
      <c r="D2">
        <v>17</v>
      </c>
      <c r="E2">
        <v>12</v>
      </c>
      <c r="F2">
        <v>6</v>
      </c>
      <c r="G2">
        <v>1</v>
      </c>
      <c r="H2">
        <v>2</v>
      </c>
      <c r="I2">
        <v>1</v>
      </c>
      <c r="J2">
        <v>2</v>
      </c>
      <c r="K2">
        <v>1</v>
      </c>
      <c r="L2">
        <v>2</v>
      </c>
      <c r="M2">
        <v>2</v>
      </c>
      <c r="N2">
        <v>2</v>
      </c>
      <c r="O2">
        <v>1</v>
      </c>
      <c r="P2">
        <v>1</v>
      </c>
      <c r="Q2">
        <v>2</v>
      </c>
      <c r="R2">
        <v>1</v>
      </c>
      <c r="S2">
        <v>2</v>
      </c>
      <c r="T2">
        <v>1</v>
      </c>
      <c r="U2">
        <v>1</v>
      </c>
    </row>
    <row r="3" spans="1:21" x14ac:dyDescent="0.25">
      <c r="A3">
        <v>13</v>
      </c>
      <c r="B3">
        <v>3</v>
      </c>
      <c r="C3">
        <v>5</v>
      </c>
      <c r="D3">
        <v>17</v>
      </c>
      <c r="E3">
        <v>9</v>
      </c>
      <c r="F3">
        <v>4</v>
      </c>
      <c r="G3">
        <v>1</v>
      </c>
      <c r="H3">
        <v>1</v>
      </c>
      <c r="I3">
        <v>2</v>
      </c>
      <c r="J3">
        <v>2</v>
      </c>
      <c r="K3">
        <v>1</v>
      </c>
      <c r="L3">
        <v>2</v>
      </c>
      <c r="M3">
        <v>2</v>
      </c>
      <c r="N3">
        <v>2</v>
      </c>
      <c r="O3">
        <v>1</v>
      </c>
      <c r="P3">
        <v>1</v>
      </c>
      <c r="Q3">
        <v>2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6</v>
      </c>
      <c r="B4">
        <v>6</v>
      </c>
      <c r="C4">
        <v>3</v>
      </c>
      <c r="D4">
        <v>17</v>
      </c>
      <c r="E4">
        <v>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5</v>
      </c>
      <c r="B5">
        <v>5</v>
      </c>
      <c r="C5">
        <v>5</v>
      </c>
      <c r="D5">
        <v>15</v>
      </c>
      <c r="E5">
        <v>5</v>
      </c>
      <c r="F5">
        <v>5</v>
      </c>
      <c r="G5">
        <v>1</v>
      </c>
      <c r="H5">
        <v>2</v>
      </c>
      <c r="I5">
        <v>1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1</v>
      </c>
      <c r="Q5">
        <v>1</v>
      </c>
      <c r="R5">
        <v>1</v>
      </c>
      <c r="S5">
        <v>1</v>
      </c>
      <c r="T5">
        <v>2</v>
      </c>
      <c r="U5">
        <v>1</v>
      </c>
    </row>
    <row r="6" spans="1:21" x14ac:dyDescent="0.25">
      <c r="A6">
        <v>4</v>
      </c>
      <c r="B6">
        <v>3</v>
      </c>
      <c r="C6">
        <v>1</v>
      </c>
      <c r="D6">
        <v>18</v>
      </c>
      <c r="E6">
        <v>4</v>
      </c>
      <c r="F6">
        <v>4</v>
      </c>
      <c r="G6">
        <v>1</v>
      </c>
      <c r="H6">
        <v>2</v>
      </c>
      <c r="I6">
        <v>1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1</v>
      </c>
      <c r="Q6">
        <v>2</v>
      </c>
      <c r="R6">
        <v>2</v>
      </c>
      <c r="S6">
        <v>2</v>
      </c>
      <c r="T6">
        <v>2</v>
      </c>
      <c r="U6">
        <v>1</v>
      </c>
    </row>
    <row r="7" spans="1:21" x14ac:dyDescent="0.25">
      <c r="A7">
        <v>6</v>
      </c>
      <c r="B7">
        <v>4</v>
      </c>
      <c r="C7">
        <v>3</v>
      </c>
      <c r="D7">
        <v>20</v>
      </c>
      <c r="E7">
        <v>4</v>
      </c>
      <c r="F7">
        <v>3</v>
      </c>
      <c r="G7">
        <v>1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1</v>
      </c>
      <c r="Q7">
        <v>1</v>
      </c>
      <c r="R7">
        <v>2</v>
      </c>
      <c r="S7">
        <v>1</v>
      </c>
      <c r="T7">
        <v>2</v>
      </c>
      <c r="U7">
        <v>2</v>
      </c>
    </row>
    <row r="8" spans="1:21" x14ac:dyDescent="0.25">
      <c r="A8">
        <v>10</v>
      </c>
      <c r="B8">
        <v>1</v>
      </c>
      <c r="C8">
        <v>5</v>
      </c>
      <c r="D8">
        <v>20</v>
      </c>
      <c r="E8">
        <v>5</v>
      </c>
      <c r="F8">
        <v>1</v>
      </c>
      <c r="G8">
        <v>1</v>
      </c>
      <c r="H8">
        <v>2</v>
      </c>
      <c r="I8">
        <v>1</v>
      </c>
      <c r="J8">
        <v>2</v>
      </c>
      <c r="K8">
        <v>1</v>
      </c>
      <c r="L8">
        <v>2</v>
      </c>
      <c r="M8">
        <v>2</v>
      </c>
      <c r="N8">
        <v>2</v>
      </c>
      <c r="O8">
        <v>1</v>
      </c>
      <c r="P8">
        <v>1</v>
      </c>
      <c r="Q8">
        <v>2</v>
      </c>
      <c r="R8">
        <v>1</v>
      </c>
      <c r="S8">
        <v>2</v>
      </c>
      <c r="T8">
        <v>1</v>
      </c>
      <c r="U8">
        <v>1</v>
      </c>
    </row>
    <row r="9" spans="1:21" x14ac:dyDescent="0.25">
      <c r="A9">
        <v>12</v>
      </c>
      <c r="B9">
        <v>2</v>
      </c>
      <c r="C9">
        <v>3</v>
      </c>
      <c r="D9">
        <v>15</v>
      </c>
      <c r="E9">
        <v>10</v>
      </c>
      <c r="F9">
        <v>6</v>
      </c>
      <c r="G9">
        <v>1</v>
      </c>
      <c r="H9">
        <v>1</v>
      </c>
      <c r="I9">
        <v>1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1</v>
      </c>
      <c r="U9">
        <v>1</v>
      </c>
    </row>
    <row r="10" spans="1:21" x14ac:dyDescent="0.25">
      <c r="A10">
        <v>12</v>
      </c>
      <c r="B10">
        <v>8</v>
      </c>
      <c r="C10">
        <v>6</v>
      </c>
      <c r="D10">
        <v>17</v>
      </c>
      <c r="E10">
        <v>14</v>
      </c>
      <c r="F10">
        <v>6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2</v>
      </c>
      <c r="N10">
        <v>1</v>
      </c>
      <c r="O10">
        <v>1</v>
      </c>
      <c r="P10">
        <v>2</v>
      </c>
      <c r="Q10">
        <v>2</v>
      </c>
      <c r="R10">
        <v>2</v>
      </c>
      <c r="S10">
        <v>2</v>
      </c>
      <c r="T10">
        <v>1</v>
      </c>
      <c r="U10">
        <v>1</v>
      </c>
    </row>
    <row r="11" spans="1:21" x14ac:dyDescent="0.25">
      <c r="A11">
        <v>7</v>
      </c>
      <c r="B11">
        <v>4</v>
      </c>
      <c r="C11">
        <v>7</v>
      </c>
      <c r="D11">
        <v>16</v>
      </c>
      <c r="E11">
        <v>7</v>
      </c>
      <c r="F11">
        <v>3</v>
      </c>
      <c r="G11">
        <v>1</v>
      </c>
      <c r="H11">
        <v>1</v>
      </c>
      <c r="I11">
        <v>1</v>
      </c>
      <c r="J11">
        <v>2</v>
      </c>
      <c r="K11">
        <v>1</v>
      </c>
      <c r="L11">
        <v>2</v>
      </c>
      <c r="M11">
        <v>2</v>
      </c>
      <c r="N11">
        <v>2</v>
      </c>
      <c r="O11">
        <v>2</v>
      </c>
      <c r="P11">
        <v>1</v>
      </c>
      <c r="Q11">
        <v>2</v>
      </c>
      <c r="R11">
        <v>1</v>
      </c>
      <c r="S11">
        <v>2</v>
      </c>
      <c r="T11">
        <v>2</v>
      </c>
      <c r="U11">
        <v>1</v>
      </c>
    </row>
    <row r="12" spans="1:21" x14ac:dyDescent="0.25">
      <c r="A12">
        <v>1</v>
      </c>
      <c r="B12">
        <v>1</v>
      </c>
      <c r="C12">
        <v>1</v>
      </c>
      <c r="D12">
        <v>15</v>
      </c>
      <c r="E12">
        <v>5</v>
      </c>
      <c r="F12">
        <v>1</v>
      </c>
      <c r="G12">
        <v>1</v>
      </c>
      <c r="H12">
        <v>2</v>
      </c>
      <c r="I12">
        <v>1</v>
      </c>
      <c r="J12">
        <v>2</v>
      </c>
      <c r="K12">
        <v>1</v>
      </c>
      <c r="L12">
        <v>2</v>
      </c>
      <c r="M12">
        <v>1</v>
      </c>
      <c r="N12">
        <v>2</v>
      </c>
      <c r="O12">
        <v>1</v>
      </c>
      <c r="P12">
        <v>1</v>
      </c>
      <c r="Q12">
        <v>2</v>
      </c>
      <c r="R12">
        <v>1</v>
      </c>
      <c r="S12">
        <v>2</v>
      </c>
      <c r="T12">
        <v>1</v>
      </c>
      <c r="U12">
        <v>1</v>
      </c>
    </row>
    <row r="13" spans="1:21" x14ac:dyDescent="0.25">
      <c r="A13">
        <v>5</v>
      </c>
      <c r="B13">
        <v>1</v>
      </c>
      <c r="C13">
        <v>1</v>
      </c>
      <c r="D13">
        <v>16</v>
      </c>
      <c r="E13">
        <v>4</v>
      </c>
      <c r="F13">
        <v>1</v>
      </c>
      <c r="G13">
        <v>1</v>
      </c>
      <c r="H13">
        <v>2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FE5E-815A-4F84-A80A-D61E0881B518}">
  <dimension ref="A1:G13"/>
  <sheetViews>
    <sheetView workbookViewId="0">
      <selection activeCell="J57" sqref="J57"/>
    </sheetView>
  </sheetViews>
  <sheetFormatPr defaultRowHeight="13.2" x14ac:dyDescent="0.25"/>
  <cols>
    <col min="1" max="1" width="16.21875" customWidth="1"/>
  </cols>
  <sheetData>
    <row r="1" spans="1:7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>
        <v>4</v>
      </c>
      <c r="B2">
        <v>6</v>
      </c>
      <c r="C2">
        <v>6</v>
      </c>
      <c r="D2">
        <v>6</v>
      </c>
      <c r="E2">
        <v>4</v>
      </c>
      <c r="F2">
        <v>5</v>
      </c>
      <c r="G2">
        <v>6</v>
      </c>
    </row>
    <row r="3" spans="1:7" x14ac:dyDescent="0.25">
      <c r="A3">
        <v>3</v>
      </c>
      <c r="B3">
        <v>5</v>
      </c>
      <c r="C3">
        <v>5</v>
      </c>
      <c r="D3">
        <v>3</v>
      </c>
      <c r="E3">
        <v>5</v>
      </c>
      <c r="F3">
        <v>7</v>
      </c>
      <c r="G3">
        <v>7</v>
      </c>
    </row>
    <row r="4" spans="1:7" x14ac:dyDescent="0.25">
      <c r="A4">
        <v>7</v>
      </c>
      <c r="B4">
        <v>7</v>
      </c>
      <c r="C4">
        <v>7</v>
      </c>
      <c r="D4">
        <v>5</v>
      </c>
      <c r="E4">
        <v>6</v>
      </c>
      <c r="F4">
        <v>6</v>
      </c>
      <c r="G4">
        <v>7</v>
      </c>
    </row>
    <row r="5" spans="1:7" x14ac:dyDescent="0.25">
      <c r="A5">
        <v>7</v>
      </c>
      <c r="B5">
        <v>5</v>
      </c>
      <c r="C5">
        <v>7</v>
      </c>
      <c r="D5">
        <v>7</v>
      </c>
      <c r="E5">
        <v>7</v>
      </c>
      <c r="F5">
        <v>7</v>
      </c>
      <c r="G5">
        <v>7</v>
      </c>
    </row>
    <row r="6" spans="1:7" x14ac:dyDescent="0.25">
      <c r="A6">
        <v>7</v>
      </c>
      <c r="B6">
        <v>7</v>
      </c>
      <c r="C6">
        <v>7</v>
      </c>
      <c r="D6">
        <v>5</v>
      </c>
      <c r="E6">
        <v>7</v>
      </c>
      <c r="F6">
        <v>7</v>
      </c>
      <c r="G6">
        <v>7</v>
      </c>
    </row>
    <row r="7" spans="1:7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7" x14ac:dyDescent="0.25">
      <c r="A8">
        <v>6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</row>
    <row r="9" spans="1:7" x14ac:dyDescent="0.25">
      <c r="A9">
        <v>6</v>
      </c>
      <c r="B9">
        <v>6</v>
      </c>
      <c r="C9">
        <v>7</v>
      </c>
      <c r="D9">
        <v>6</v>
      </c>
      <c r="E9">
        <v>6</v>
      </c>
      <c r="F9">
        <v>4</v>
      </c>
      <c r="G9">
        <v>6</v>
      </c>
    </row>
    <row r="10" spans="1:7" x14ac:dyDescent="0.25">
      <c r="A10">
        <v>3</v>
      </c>
      <c r="B10">
        <v>5</v>
      </c>
      <c r="C10">
        <v>5</v>
      </c>
      <c r="D10">
        <v>5</v>
      </c>
      <c r="E10">
        <v>6</v>
      </c>
      <c r="F10">
        <v>6</v>
      </c>
      <c r="G10">
        <v>7</v>
      </c>
    </row>
    <row r="11" spans="1:7" x14ac:dyDescent="0.25">
      <c r="A11">
        <v>7</v>
      </c>
      <c r="B11">
        <v>6</v>
      </c>
      <c r="C11">
        <v>7</v>
      </c>
      <c r="D11">
        <v>7</v>
      </c>
      <c r="E11">
        <v>7</v>
      </c>
      <c r="F11">
        <v>7</v>
      </c>
      <c r="G11">
        <v>7</v>
      </c>
    </row>
    <row r="12" spans="1:7" x14ac:dyDescent="0.25">
      <c r="A12">
        <v>7</v>
      </c>
      <c r="B12">
        <v>6</v>
      </c>
      <c r="C12">
        <v>6</v>
      </c>
      <c r="D12">
        <v>7</v>
      </c>
      <c r="E12">
        <v>6</v>
      </c>
      <c r="F12">
        <v>7</v>
      </c>
      <c r="G12">
        <v>7</v>
      </c>
    </row>
    <row r="13" spans="1:7" x14ac:dyDescent="0.25">
      <c r="A13">
        <v>5</v>
      </c>
      <c r="B13">
        <v>6</v>
      </c>
      <c r="C13">
        <v>6</v>
      </c>
      <c r="D13">
        <v>5</v>
      </c>
      <c r="E13">
        <v>7</v>
      </c>
      <c r="F13">
        <v>7</v>
      </c>
      <c r="G13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Overall</vt:lpstr>
      <vt:lpstr>Baseline_TLX</vt:lpstr>
      <vt:lpstr>Time</vt:lpstr>
      <vt:lpstr>Baseline_SUS</vt:lpstr>
      <vt:lpstr>Lancet_TLX</vt:lpstr>
      <vt:lpstr>Lancet_SUS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文硕, Wenshuo 张, ZHANG</cp:lastModifiedBy>
  <dcterms:created xsi:type="dcterms:W3CDTF">2025-04-02T06:31:07Z</dcterms:created>
  <dcterms:modified xsi:type="dcterms:W3CDTF">2025-04-02T06:31:14Z</dcterms:modified>
  <cp:category/>
</cp:coreProperties>
</file>